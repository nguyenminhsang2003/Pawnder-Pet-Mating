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Cover" sheetId="1" r:id="rId1"/>
    <sheet name="Test Cases" sheetId="2" r:id="rId2"/>
    <sheet name="Test Statistics" sheetId="3" r:id="rId3"/>
    <sheet name="Payment" sheetId="4" r:id="rId4"/>
    <sheet name="Appointment" sheetId="5" r:id="rId5"/>
    <sheet name="Policy" sheetId="6" r:id="rId6"/>
    <sheet name="Event" sheetId="7" r:id="rId7"/>
    <sheet name="Bad Word" sheetId="8" r:id="rId8"/>
    <sheet name="Notification" sheetId="9" r:id="rId9"/>
    <sheet name="Match" sheetId="10" r:id="rId10"/>
    <sheet name="Expert Confirmation" sheetId="11" r:id="rId11"/>
    <sheet name="Chat User" sheetId="12" r:id="rId12"/>
    <sheet name="Chat Expert" sheetId="13" r:id="rId13"/>
    <sheet name="Chat AI" sheetId="14" r:id="rId14"/>
    <sheet name="Block" sheetId="15" r:id="rId15"/>
    <sheet name="Auth" sheetId="16" r:id="rId16"/>
    <sheet name="Attribute Options" sheetId="17" r:id="rId17"/>
    <sheet name="Attributes" sheetId="18" r:id="rId18"/>
    <sheet name="Admin" sheetId="19" r:id="rId19"/>
    <sheet name="Address" sheetId="20" r:id="rId20"/>
    <sheet name="User Preference" sheetId="21" r:id="rId21"/>
    <sheet name="User" sheetId="22" r:id="rId22"/>
    <sheet name="Pet Image Analysis" sheetId="23" r:id="rId23"/>
    <sheet name="Pet" sheetId="24" r:id="rId24"/>
    <sheet name="Pet Characteristic" sheetId="25" r:id="rId25"/>
    <sheet name="Pet Photo" sheetId="26" r:id="rId26"/>
    <sheet name="Pet Recommendation" sheetId="27" r:id="rId27"/>
    <sheet name="Report" sheetId="28" r:id="rId28"/>
  </sheets>
  <definedNames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<sst xmlns="http://schemas.openxmlformats.org/spreadsheetml/2006/main" count="9803" uniqueCount="2468">
  <si>
    <t>TEST REPORT DOCUMENT</t>
  </si>
  <si>
    <t>Project Name</t>
  </si>
  <si>
    <t>Pawnder: Pet Dating App</t>
  </si>
  <si>
    <t>Creator</t>
  </si>
  <si>
    <t>SangNM</t>
  </si>
  <si>
    <t>Project Code</t>
  </si>
  <si>
    <t>DPDA</t>
  </si>
  <si>
    <t>Issue Date</t>
  </si>
  <si>
    <t>Document Code</t>
  </si>
  <si>
    <t>SEP490_G151_IntegrationTest.xlsx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</si>
  <si>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</si>
  <si>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</si>
  <si>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</si>
  <si>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</si>
  <si>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</si>
  <si>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</si>
  <si>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</si>
  <si>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</si>
  <si>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</si>
  <si>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A</t>
  </si>
  <si>
    <t>Create system test file</t>
  </si>
  <si>
    <t>1.1</t>
  </si>
  <si>
    <t>A,M</t>
  </si>
  <si>
    <t>Create and update ST test cases</t>
  </si>
  <si>
    <t>1.2</t>
  </si>
  <si>
    <t>M</t>
  </si>
  <si>
    <t xml:space="preserve"> Update ST test cases</t>
  </si>
  <si>
    <t>TEST CASE LIST</t>
  </si>
  <si>
    <t>Test Environment Setup Description</t>
  </si>
  <si>
    <t>1: Postman
2: DataGrip</t>
  </si>
  <si>
    <t>No</t>
  </si>
  <si>
    <t>Services</t>
  </si>
  <si>
    <t>Function Name</t>
  </si>
  <si>
    <t>Feature Name</t>
  </si>
  <si>
    <t>Sheet Name</t>
  </si>
  <si>
    <t>Description</t>
  </si>
  <si>
    <t>Pre-Condition</t>
  </si>
  <si>
    <t>createAddressForUser</t>
  </si>
  <si>
    <t>Address</t>
  </si>
  <si>
    <t>updateAddress</t>
  </si>
  <si>
    <t>getAddressById</t>
  </si>
  <si>
    <t>updateAddressManual</t>
  </si>
  <si>
    <t>updateUserByAdmin</t>
  </si>
  <si>
    <t>Admin</t>
  </si>
  <si>
    <t>registerUserByAdmin</t>
  </si>
  <si>
    <t>getAttributes</t>
  </si>
  <si>
    <t>Attributes</t>
  </si>
  <si>
    <t>createAttribute</t>
  </si>
  <si>
    <t>getAttributeById</t>
  </si>
  <si>
    <t>updateAttribute</t>
  </si>
  <si>
    <t>deleteAttribute</t>
  </si>
  <si>
    <t>getAttributesForFilter</t>
  </si>
  <si>
    <t>getOptionsByAttributeId</t>
  </si>
  <si>
    <t>Attribute Options</t>
  </si>
  <si>
    <t>createOption</t>
  </si>
  <si>
    <t>updateOption</t>
  </si>
  <si>
    <t>deleteOption</t>
  </si>
  <si>
    <t>login</t>
  </si>
  <si>
    <t>Auth</t>
  </si>
  <si>
    <t>logout</t>
  </si>
  <si>
    <t>refreshToken</t>
  </si>
  <si>
    <t>getBlockedUsers</t>
  </si>
  <si>
    <t>Block</t>
  </si>
  <si>
    <t>createBlock</t>
  </si>
  <si>
    <t>deleteBlock</t>
  </si>
  <si>
    <t>getTokenUsage</t>
  </si>
  <si>
    <t>Chat AI</t>
  </si>
  <si>
    <t>getAllChats</t>
  </si>
  <si>
    <t>createChat</t>
  </si>
  <si>
    <t>updateChatTitle</t>
  </si>
  <si>
    <t>deleteChat</t>
  </si>
  <si>
    <t>getChatHistory</t>
  </si>
  <si>
    <t>sendAIMessage</t>
  </si>
  <si>
    <t>getChatsByUserId</t>
  </si>
  <si>
    <t>Chat Expert</t>
  </si>
  <si>
    <t>getChatsByExpertId</t>
  </si>
  <si>
    <t>createExpertChat</t>
  </si>
  <si>
    <t>getExpertChatMessages</t>
  </si>
  <si>
    <t>sendExpertMessage</t>
  </si>
  <si>
    <t>getChats</t>
  </si>
  <si>
    <t>Chat User</t>
  </si>
  <si>
    <t>getChatMessages</t>
  </si>
  <si>
    <t>sendMessage</t>
  </si>
  <si>
    <t>getAllExpertConfirmations</t>
  </si>
  <si>
    <t>Expert Confirmation</t>
  </si>
  <si>
    <t>getExpertConfirmation</t>
  </si>
  <si>
    <t>getUserExpertConfirmations</t>
  </si>
  <si>
    <t>createExpertConfirmation</t>
  </si>
  <si>
    <t>updateExpertConfirmation</t>
  </si>
  <si>
    <t>getUserExpertChats</t>
  </si>
  <si>
    <t>getLikesReceived</t>
  </si>
  <si>
    <t>Match</t>
  </si>
  <si>
    <t>getStats</t>
  </si>
  <si>
    <t>sendLike</t>
  </si>
  <si>
    <t>respondToLike</t>
  </si>
  <si>
    <t>getBadgeCounts</t>
  </si>
  <si>
    <t>getAllNotifications</t>
  </si>
  <si>
    <t>Notification</t>
  </si>
  <si>
    <t>createNotification</t>
  </si>
  <si>
    <t>getNotificationById</t>
  </si>
  <si>
    <t>deleteNotification</t>
  </si>
  <si>
    <t>getNotificationsByUserId</t>
  </si>
  <si>
    <t>markAsRead</t>
  </si>
  <si>
    <t>markAllAsRead</t>
  </si>
  <si>
    <t>getUnreadCount</t>
  </si>
  <si>
    <t>sendOtp</t>
  </si>
  <si>
    <t>checkOtp</t>
  </si>
  <si>
    <t>generateQr</t>
  </si>
  <si>
    <t>Payment</t>
  </si>
  <si>
    <t>createPaymentHistory</t>
  </si>
  <si>
    <t>getPaymentHistoriesByUserId</t>
  </si>
  <si>
    <t>getVipStatus</t>
  </si>
  <si>
    <t>getAllPaymentHistories</t>
  </si>
  <si>
    <t>getPetsByUserId</t>
  </si>
  <si>
    <t>Pet</t>
  </si>
  <si>
    <t>getPetsForMatching</t>
  </si>
  <si>
    <t>getPetById</t>
  </si>
  <si>
    <t>updatePet</t>
  </si>
  <si>
    <t>deletePet</t>
  </si>
  <si>
    <t>createPet</t>
  </si>
  <si>
    <t>setActivePet</t>
  </si>
  <si>
    <t>getPetCharacteristics</t>
  </si>
  <si>
    <t>Pet Characteristic</t>
  </si>
  <si>
    <t>createPetCharacteristic</t>
  </si>
  <si>
    <t>updatePetCharacteristic</t>
  </si>
  <si>
    <t>getPhotosByPetId</t>
  </si>
  <si>
    <t>Pet Photo</t>
  </si>
  <si>
    <t>uploadPhotos</t>
  </si>
  <si>
    <t>reorderPhotos</t>
  </si>
  <si>
    <t>deletePhoto</t>
  </si>
  <si>
    <t>recommendPets</t>
  </si>
  <si>
    <t>Pet Recommendation</t>
  </si>
  <si>
    <t>analyzeImage</t>
  </si>
  <si>
    <t>Pet Image Analysis</t>
  </si>
  <si>
    <t>getAllReports</t>
  </si>
  <si>
    <t>Report</t>
  </si>
  <si>
    <t>getReportById</t>
  </si>
  <si>
    <t>updateReport</t>
  </si>
  <si>
    <t>getReportsByUserId</t>
  </si>
  <si>
    <t>createReport</t>
  </si>
  <si>
    <t>getUsers</t>
  </si>
  <si>
    <t>User</t>
  </si>
  <si>
    <t>registerUser</t>
  </si>
  <si>
    <t>getUserById</t>
  </si>
  <si>
    <t>updateUser</t>
  </si>
  <si>
    <t>softDeleteUser</t>
  </si>
  <si>
    <t>completeProfile</t>
  </si>
  <si>
    <t>resetPassword</t>
  </si>
  <si>
    <t>getUserPreferences</t>
  </si>
  <si>
    <t>User Preference</t>
  </si>
  <si>
    <t>deleteUserPreferences</t>
  </si>
  <si>
    <t>upsertBatch</t>
  </si>
  <si>
    <t>CreateAppointment</t>
  </si>
  <si>
    <t>Appointment</t>
  </si>
  <si>
    <t>GetAppointmentById</t>
  </si>
  <si>
    <t>GetAppointmentsByMatch</t>
  </si>
  <si>
    <t>GetMyAppointments</t>
  </si>
  <si>
    <t>RespondToAppointment</t>
  </si>
  <si>
    <t>CounterOffer</t>
  </si>
  <si>
    <t>CancelAppointment</t>
  </si>
  <si>
    <t>CheckIn</t>
  </si>
  <si>
    <t>CompleteAppointment</t>
  </si>
  <si>
    <t>GetMyRecentLocations</t>
  </si>
  <si>
    <t>CreateLocation</t>
  </si>
  <si>
    <t>ValidatePreconditions</t>
  </si>
  <si>
    <t>GetAllBadWords</t>
  </si>
  <si>
    <t>Bad Word</t>
  </si>
  <si>
    <t>GetBadWordById</t>
  </si>
  <si>
    <t>CreateBadWord</t>
  </si>
  <si>
    <t>UpdateBadWord</t>
  </si>
  <si>
    <t>DeleteBadWord</t>
  </si>
  <si>
    <t>ReloadCache</t>
  </si>
  <si>
    <t>GetAllEvents</t>
  </si>
  <si>
    <t>Event</t>
  </si>
  <si>
    <t>CreateEvent</t>
  </si>
  <si>
    <t>UpdateEvent</t>
  </si>
  <si>
    <t>CancelEvent</t>
  </si>
  <si>
    <t>GetActiveEvents</t>
  </si>
  <si>
    <t>GetEventById</t>
  </si>
  <si>
    <t>SubmitEntry</t>
  </si>
  <si>
    <t>Vote</t>
  </si>
  <si>
    <t>Unvote</t>
  </si>
  <si>
    <t>GetLeaderboard</t>
  </si>
  <si>
    <t>UploadMedia</t>
  </si>
  <si>
    <t>UploadEventMediaAsync</t>
  </si>
  <si>
    <t>GetAllPolicies</t>
  </si>
  <si>
    <t>Policy</t>
  </si>
  <si>
    <t>GetPolicyById</t>
  </si>
  <si>
    <t>CreatePolicy</t>
  </si>
  <si>
    <t>UpdatePolicy</t>
  </si>
  <si>
    <t>DeletePolicy</t>
  </si>
  <si>
    <t>GetVersionsByPolicyId</t>
  </si>
  <si>
    <t>GetVersionById</t>
  </si>
  <si>
    <t>CreateVersion</t>
  </si>
  <si>
    <t>UpdateVersion</t>
  </si>
  <si>
    <t>PublishVersion</t>
  </si>
  <si>
    <t>DeleteVersion</t>
  </si>
  <si>
    <t>GetAcceptStats</t>
  </si>
  <si>
    <t>GetAllActivePolicies</t>
  </si>
  <si>
    <t>GetActivePolicyContent</t>
  </si>
  <si>
    <t>CheckPolicyStatus</t>
  </si>
  <si>
    <t>GetPendingPolicies</t>
  </si>
  <si>
    <t>AcceptPolicy</t>
  </si>
  <si>
    <t>AcceptMultiplePolicies</t>
  </si>
  <si>
    <t>GetAcceptHistory</t>
  </si>
  <si>
    <t>TEST STATISTICS</t>
  </si>
  <si>
    <t>Reviewer/Approver</t>
  </si>
  <si>
    <t>Notes</t>
  </si>
  <si>
    <t>Module code</t>
  </si>
  <si>
    <t>Passed</t>
  </si>
  <si>
    <t>Failed</t>
  </si>
  <si>
    <t>Pending</t>
  </si>
  <si>
    <t>N/A</t>
  </si>
  <si>
    <t>Number of  test cases</t>
  </si>
  <si>
    <t>Test coverage</t>
  </si>
  <si>
    <t>%</t>
  </si>
  <si>
    <t>Test successful coverage</t>
  </si>
  <si>
    <t>Feature</t>
  </si>
  <si>
    <t>Test requirement</t>
  </si>
  <si>
    <t>Number of TCs</t>
  </si>
  <si>
    <t>Testing Round</t>
  </si>
  <si>
    <t>Round 1</t>
  </si>
  <si>
    <t>Round 2</t>
  </si>
  <si>
    <t>Round 3</t>
  </si>
  <si>
    <t>Function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</si>
  <si>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</si>
  <si>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</si>
  <si>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</si>
  <si>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</si>
  <si>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</si>
  <si>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</si>
  <si>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</si>
  <si>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</si>
  <si>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UC-7.1-TC-1</t>
  </si>
  <si>
    <t>Generate QR code with valid amount and months</t>
  </si>
  <si>
    <t>{
  "amount": 99000,
  "months": 1
}</t>
  </si>
  <si>
    <t>{
  "contentType": "image/png",
  "note": "Response trả về file binary QR code image"
}</t>
  </si>
  <si>
    <t>Connect internet</t>
  </si>
  <si>
    <t>UC-7.1-TC-2</t>
  </si>
  <si>
    <t>Generate QR code with amount less than or equal to 0</t>
  </si>
  <si>
    <t>{
  "amount": 0,
  "months": 1
}</t>
  </si>
  <si>
    <t>{
  "message": "Amount phải lớn hơn 0"
}</t>
  </si>
  <si>
    <t>UC-7.1-TC-3</t>
  </si>
  <si>
    <t>Generate QR code with negative amount</t>
  </si>
  <si>
    <t>{
  "amount": -1000,
  "months": 1
}</t>
  </si>
  <si>
    <t>UC-7.1-TC-4</t>
  </si>
  <si>
    <t>Generate QR code with months less than 1</t>
  </si>
  <si>
    <t>{
  "amount": 99000,
  "months": 0
}</t>
  </si>
  <si>
    <t>{
  "message": "Months phải từ 1 đến 12"
}</t>
  </si>
  <si>
    <t>UC-7.1-TC-5</t>
  </si>
  <si>
    <t>Generate QR code with months greater than 12</t>
  </si>
  <si>
    <t>{
  "amount": 99000,
  "months": 13
}</t>
  </si>
  <si>
    <t>UC-7.1-TC-6</t>
  </si>
  <si>
    <t>Generate QR code without authentication</t>
  </si>
  <si>
    <t>{}</t>
  </si>
  <si>
    <t>{
  "message": "Unauthorized"
}</t>
  </si>
  <si>
    <t>UC-7.1-TC-7</t>
  </si>
  <si>
    <t>Generate QR code when user info not found in token</t>
  </si>
  <si>
    <t>{
  "message": "Không tìm thấy thông tin user trong token"
}</t>
  </si>
  <si>
    <t>UC-7.2-TC-1</t>
  </si>
  <si>
    <t>Create payment history with valid data</t>
  </si>
  <si>
    <t>{
  "userId": 1,
  "durationMonths": 1,
  "amount": 99000,
  "planName": "VIP 1 tháng"
}</t>
  </si>
  <si>
    <t>{
  "success": true,
  "message": "Thanh toán thành công! Tài khoản VIP đã được kích hoạt.",
  "data": {
    "historyId": 10,
    "userId": 1,
    "statusService": "active",
    "startDate": "2025-01-15",
    "endDate": "2025-02-15",
    "durationMonths": 1
  }
}</t>
  </si>
  <si>
    <t>UC-7.2-TC-2</t>
  </si>
  <si>
    <t>Create payment history with non-existent user</t>
  </si>
  <si>
    <t>{
  "userId": 999,
  "durationMonths": 1,
  "amount": 99000,
  "planName": "VIP 1 tháng"
}</t>
  </si>
  <si>
    <t>{
  "message": "User không tồn tại"
}</t>
  </si>
  <si>
    <t>UC-7.2-TC-3</t>
  </si>
  <si>
    <t>Create payment history with 3 months duration</t>
  </si>
  <si>
    <t>{
  "userId": 1,
  "durationMonths": 3,
  "amount": 270000,
  "planName": "VIP 3 tháng"
}</t>
  </si>
  <si>
    <t>{
  "success": true,
  "message": "Thanh toán thành công! Tài khoản VIP đã được kích hoạt.",
  "data": {
    "historyId": 11,
    "userId": 1,
    "statusService": "active",
    "startDate": "2025-01-15",
    "endDate": "2025-04-15",
    "durationMonths": 3
  }
}</t>
  </si>
  <si>
    <t>UC-7.2-TC-4</t>
  </si>
  <si>
    <t>Create payment history with 12 months duration</t>
  </si>
  <si>
    <t>{
  "userId": 1,
  "durationMonths": 12,
  "amount": 990000,
  "planName": "VIP 12 tháng"
}</t>
  </si>
  <si>
    <t>{
  "success": true,
  "message": "Thanh toán thành công! Tài khoản VIP đã được kích hoạt.",
  "data": {
    "historyId": 12,
    "userId": 1,
    "statusService": "active",
    "startDate": "2025-01-15",
    "endDate": "2026-01-15",
    "durationMonths": 12
  }
}</t>
  </si>
  <si>
    <t>UC-7.3-TC-1</t>
  </si>
  <si>
    <t>Get payment histories by valid userId</t>
  </si>
  <si>
    <t>{
  "userId": 1
}</t>
  </si>
  <si>
    <t>{
  "success": true,
  "data": [
    {
      "historyId": 1,
      "userId": 1,
      "statusService": "active",
      "startDate": "2025-01-01",
      "endDate": "2025-02-01",
      "createdAt": "2025-01-01T10:00:00",
      "updatedAt": "2025-01-01T10:00:00"
    },
    {
      "historyId": 2,
      "userId": 1,
      "statusService": "expired",
      "startDate": "2024-12-01",
      "endDate": "2025-01-01",
      "createdAt": "2024-12-01T10:00:00",
      "updatedAt": "2025-01-01T10:00:00"
    }
  ]
}</t>
  </si>
  <si>
    <t>UC-7.3-TC-2</t>
  </si>
  <si>
    <t>Get payment histories for user with no history</t>
  </si>
  <si>
    <t>{
  "userId": 999
}</t>
  </si>
  <si>
    <t>{
  "success": true,
  "data": []
}</t>
  </si>
  <si>
    <t>UC-7.4-TC-1</t>
  </si>
  <si>
    <t>Get VIP status for user with active subscription</t>
  </si>
  <si>
    <t>{
  "success": true,
  "isVip": true,
  "subscription": {
    "historyId": 1,
    "statusService": "active",
    "startDate": "2025-01-01",
    "endDate": "2025-02-01",
    "daysRemaining": 17
  }
}</t>
  </si>
  <si>
    <t>UC-7.4-TC-2</t>
  </si>
  <si>
    <t>Get VIP status for user with expired subscription</t>
  </si>
  <si>
    <t>{
  "userId": 2
}</t>
  </si>
  <si>
    <t>{
  "success": true,
  "isVip": false,
  "subscription": null
}</t>
  </si>
  <si>
    <t>UC-7.4-TC-3</t>
  </si>
  <si>
    <t>Get VIP status for user who never subscribed</t>
  </si>
  <si>
    <t>UC-7.5-TC-1</t>
  </si>
  <si>
    <t>Get all payment histories as admin</t>
  </si>
  <si>
    <t>{
  "success": true,
  "data": [
    {
      "historyId": 1,
      "userId": 1,
      "userName": "Nguyễn Văn A",
      "userEmail": "user1@example.com",
      "statusService": "active",
      "amount": 99000,
      "startDate": "2025-01-01",
      "endDate": "2025-02-01",
      "createdAt": "2025-01-01T10:00:00",
      "updatedAt": "2025-01-01T10:00:00"
    },
    {
      "historyId": 2,
      "userId": 2,
      "userName": "Trần Thị B",
      "userEmail": "user2@example.com",
      "statusService": "active",
      "amount": 99000,
      "startDate": "2025-01-15",
      "endDate": "2025-02-15",
      "createdAt": "2025-01-15T10:00:00",
      "updatedAt": "2025-01-15T10:00:00"
    }
  ]
}</t>
  </si>
  <si>
    <t>UC-7.5-TC-2</t>
  </si>
  <si>
    <t>Get all payment histories when no histories exist</t>
  </si>
  <si>
    <t>UC-7.5-TC-3</t>
  </si>
  <si>
    <t>Get all payment histories without admin role</t>
  </si>
  <si>
    <t>createAppointment</t>
  </si>
  <si>
    <t>UC-6.1-TC-1</t>
  </si>
  <si>
    <t>Create appointment with valid data</t>
  </si>
  <si>
    <t>{
"matchId": 10,
"inviterPetId": 10,
"inviteePetId": 11,
"appointmentDateTime": "2026-01-19T10:00:00Z",
"locationId": 1,
"activityType": "cafe"
}</t>
  </si>
  <si>
    <t>{
"message": "Tạo cuộc hẹn thành công",
"data": {
"appointmentId": 1,
"matchId": 10,
"inviterPetId": 10,
"inviterPetName": "Buddy",
"inviterUserId": 10,
"inviterUserName": "User 10",
"inviteePetId": 11,
"inviteePetName": "Max",
"inviteeUserId": 11,
"inviteeUserName": "User 11",
"appointmentDateTime": "2026-01-19T10:00:00Z",
"location": {
"locationId": 1,
"name": "Pet Cafe",
"address": "123 Street",
"latitude": 10.7769,
"longitude": 106.7009,
"city": "HCM",
"district": "District 1",
"isPetFriendly": true,
"placeType": "cafe"
},
"activityType": "cafe",
"status": "Pending",
"currentDecisionUserId": 11,
"counterOfferCount": 0,
"inviterCheckedIn": false,
"inviteeCheckedIn": false,
"createdAt": "2026-01-14T10:00:00Z",
"updatedAt": "2026-01-14T10:00:00Z"
}
}</t>
  </si>
  <si>
    <t>Login as User</t>
  </si>
  <si>
    <t>DucNV</t>
  </si>
  <si>
    <t>CuongNTT</t>
  </si>
  <si>
    <t>UC-6.1-TC-2</t>
  </si>
  <si>
    <t>Create appointment without authentication</t>
  </si>
  <si>
    <t>{
"message": "Unauthorized"
}</t>
  </si>
  <si>
    <t>Not logged in</t>
  </si>
  <si>
    <t>UC-6.1-TC-3</t>
  </si>
  <si>
    <t>Create appointment with invalid MatchId</t>
  </si>
  <si>
    <t>{
"matchId": 99999,
"inviterPetId": 10,
"inviteePetId": 11,
"appointmentDateTime": "2026-01-19T10:00:00Z",
"locationId": 1,
"activityType": "cafe"
}</t>
  </si>
  <si>
    <t>{
"message": "Match không tồn tại."
}</t>
  </si>
  <si>
    <t>UC-6.1-TC-4</t>
  </si>
  <si>
    <t>Create appointment with past datetime</t>
  </si>
  <si>
    <t>{
"matchId": 10,
"inviterPetId": 10,
"inviteePetId": 11,
"appointmentDateTime": "2026-01-10T10:00:00Z",
"locationId": 1,
"activityType": "cafe"
}</t>
  </si>
  <si>
    <t>{
"message": "Thời gian hẹn phải trong tương lai."
}</t>
  </si>
  <si>
    <t>UC-6.1-TC-5</t>
  </si>
  <si>
    <t>Create appointment with invalid activity type</t>
  </si>
  <si>
    <t>{
"matchId": 10,
"inviterPetId": 10,
"inviteePetId": 11,
"appointmentDateTime": "2026-01-19T10:00:00Z",
"locationId": 1,
"activityType": "invalid_type"
}</t>
  </si>
  <si>
    <t>{
"message": "Loại hoạt động không hợp lệ (walk, cafe, playdate, park, other)"
}</t>
  </si>
  <si>
    <t>getAppointmentById</t>
  </si>
  <si>
    <t>UC-6.2-TC-1</t>
  </si>
  <si>
    <t>Get existing appointment by ID</t>
  </si>
  <si>
    <t>{
"appointmentId": 1
}</t>
  </si>
  <si>
    <t>{
"appointmentId": 1,
"matchId": 10,
"inviterPetId": 10,
"inviterPetName": "Buddy",
"inviterUserId": 10,
"inviterUserName": "User 10",
"inviteePetId": 11,
"inviteePetName": "Max",
"inviteeUserId": 11,
"inviteeUserName": "User 11",
"appointmentDateTime": "2026-01-19T10:00:00Z",
"location": {
"locationId": 1,
"name": "Pet Cafe",
"address": "123 Street"
},
"activityType": "cafe",
"status": "Pending"
}</t>
  </si>
  <si>
    <t>UC-6.2-TC-2</t>
  </si>
  <si>
    <t>Get non-existent appointment</t>
  </si>
  <si>
    <t>{
"appointmentId": 99999
}</t>
  </si>
  <si>
    <t>{
"message": "Không tìm thấy cuộc hẹn"
}</t>
  </si>
  <si>
    <t>UC-6.2-TC-3</t>
  </si>
  <si>
    <t>Get appointment without authentication</t>
  </si>
  <si>
    <t>getAppointmentsByMatch</t>
  </si>
  <si>
    <t>UC-6.3-TC-1</t>
  </si>
  <si>
    <t>Get appointments by valid matchId</t>
  </si>
  <si>
    <t>{
"matchId": 10
}</t>
  </si>
  <si>
    <t>[
{
"appointmentId": 1,
"matchId": 10,
"inviterPetId": 10,
"inviteePetId": 11,
"appointmentDateTime": "2026-01-19T10:00:00Z",
"status": "Pending"
}
]</t>
  </si>
  <si>
    <t>UC-6.3-TC-2</t>
  </si>
  <si>
    <t>Get appointments by invalid matchId</t>
  </si>
  <si>
    <t>{
"matchId": 99999
}</t>
  </si>
  <si>
    <t>[]</t>
  </si>
  <si>
    <t>UC-6.3-TC-3</t>
  </si>
  <si>
    <t>Get appointments without authentication</t>
  </si>
  <si>
    <t>getMyAppointments</t>
  </si>
  <si>
    <t>UC-6.4-TC-1</t>
  </si>
  <si>
    <t>Get my appointments as authenticated user</t>
  </si>
  <si>
    <t>{
"userId": 10
}</t>
  </si>
  <si>
    <t>UC-6.4-TC-2</t>
  </si>
  <si>
    <t>User with no appointments</t>
  </si>
  <si>
    <t>{
"userId": 12
}</t>
  </si>
  <si>
    <t>Login as User 12</t>
  </si>
  <si>
    <t>UC-6.4-TC-3</t>
  </si>
  <si>
    <t>Get my appointments without authentication</t>
  </si>
  <si>
    <t>respondToAppointment</t>
  </si>
  <si>
    <t>UC-6.5-TC-1</t>
  </si>
  <si>
    <t>Accept appointment</t>
  </si>
  <si>
    <t>{
"appointmentId": 1,
"accept": true
}</t>
  </si>
  <si>
    <t>{
"message": "Đã chấp nhận cuộc hẹn",
"data": {
"appointmentId": 1,
"status": "Confirmed"
}
}</t>
  </si>
  <si>
    <t>Login as User 11</t>
  </si>
  <si>
    <t>UC-6.5-TC-2</t>
  </si>
  <si>
    <t>Decline appointment with reason</t>
  </si>
  <si>
    <t>{
"appointmentId": 1,
"accept": false,
"declineReason": "Tôi bận vào ngày này"
}</t>
  </si>
  <si>
    <t>{
"message": "Đã từ chối cuộc hẹn",
"data": {
"appointmentId": 1,
"status": "Declined"
}
}</t>
  </si>
  <si>
    <t>UC-6.5-TC-3</t>
  </si>
  <si>
    <t>Respond to non-existent appointment</t>
  </si>
  <si>
    <t>{
"appointmentId": 99999,
"accept": true
}</t>
  </si>
  <si>
    <t>UC-6.5-TC-4</t>
  </si>
  <si>
    <t>Respond without authentication</t>
  </si>
  <si>
    <t>UC-6.5-TC-5</t>
  </si>
  <si>
    <t>Decline without reason</t>
  </si>
  <si>
    <t>{
"appointmentId": 1,
"accept": false
}</t>
  </si>
  <si>
    <t>{
"message": "Lý do từ chối là bắt buộc"
}</t>
  </si>
  <si>
    <t>counterOffer</t>
  </si>
  <si>
    <t>UC-6.6-TC-1</t>
  </si>
  <si>
    <t>Counter offer with new datetime</t>
  </si>
  <si>
    <t>{
"appointmentId": 5,
"newDateTime": "2026-01-24T10:00:00Z"
}</t>
  </si>
  <si>
    <t>{
"message": "Đã gửi đề xuất mới",
"data": {
"appointmentId": 5,
"appointmentDateTime": "2026-01-24T10:00:00Z",
"counterOfferCount": 1,
"status": "CounterOffered"
}
}</t>
  </si>
  <si>
    <t>Login as User 10</t>
  </si>
  <si>
    <t>UC-6.6-TC-2</t>
  </si>
  <si>
    <t>Counter offer exceeds limit (3)</t>
  </si>
  <si>
    <t>{
"appointmentId": 5,
"newDateTime": "2026-01-29T10:00:00Z"
}</t>
  </si>
  <si>
    <t>{
"message": "Đã vượt quá số lần đề xuất tối đa (3 lần)"
}</t>
  </si>
  <si>
    <t>Login as User, counterOfferCount &gt;= 3</t>
  </si>
  <si>
    <t>UC-6.6-TC-3</t>
  </si>
  <si>
    <t>Counter offer without any changes</t>
  </si>
  <si>
    <t>{
"appointmentId": 5
}</t>
  </si>
  <si>
    <t>{
"message": "Phải đề xuất thời gian hoặc địa điểm mới"
}</t>
  </si>
  <si>
    <t>UC-6.6-TC-4</t>
  </si>
  <si>
    <t>Counter offer without authentication</t>
  </si>
  <si>
    <t>cancelAppointment</t>
  </si>
  <si>
    <t>UC-6.7-TC-1</t>
  </si>
  <si>
    <t>Cancel appointment with valid reason</t>
  </si>
  <si>
    <t>{
"appointmentId": 1,
"reason": "Tôi có việc đột xuất"
}</t>
  </si>
  <si>
    <t>{
"message": "Đã hủy cuộc hẹn",
"data": {
"appointmentId": 1,
"status": "Cancelled",
"cancelReason": "Tôi có việc đột xuất"
}
}</t>
  </si>
  <si>
    <t>UC-6.7-TC-2</t>
  </si>
  <si>
    <t>Cancel non-existent appointment</t>
  </si>
  <si>
    <t>{
"appointmentId": 99999,
"reason": "Tôi có việc đột xuất"
}</t>
  </si>
  <si>
    <t>UC-6.7-TC-3</t>
  </si>
  <si>
    <t>Cancel without reason</t>
  </si>
  <si>
    <t>{
"message": "Lý do hủy là bắt buộc"
}</t>
  </si>
  <si>
    <t>UC-6.7-TC-4</t>
  </si>
  <si>
    <t>Cancel without authentication</t>
  </si>
  <si>
    <t>checkIn</t>
  </si>
  <si>
    <t>UC-6.8-TC-1</t>
  </si>
  <si>
    <t>Check-in with valid GPS location</t>
  </si>
  <si>
    <t>{
"appointmentId": 1,
"latitude": 10.7769,
"longitude": 106.7009
}</t>
  </si>
  <si>
    <t>{
"message": "Check-in thành công!",
"data": {
"appointmentId": 1,
"inviterCheckedIn": true,
"inviterCheckInTime": "2026-01-19T10:05:00Z"
}
}</t>
  </si>
  <si>
    <t>Login as User, Appointment status = Confirmed</t>
  </si>
  <si>
    <t>UC-6.8-TC-2</t>
  </si>
  <si>
    <t>Check-in with invalid location (too far)</t>
  </si>
  <si>
    <t>{
"appointmentId": 1,
"latitude": 21.0285,
"longitude": 105.8542
}</t>
  </si>
  <si>
    <t>{
"message": "Vị trí check-in quá xa địa điểm hẹn"
}</t>
  </si>
  <si>
    <t>UC-6.8-TC-3</t>
  </si>
  <si>
    <t>Check-in for non-existent appointment</t>
  </si>
  <si>
    <t>{
"appointmentId": 99999,
"latitude": 10.7769,
"longitude": 106.7009
}</t>
  </si>
  <si>
    <t>UC-6.8-TC-4</t>
  </si>
  <si>
    <t>Check-in without authentication</t>
  </si>
  <si>
    <t>completeAppointment</t>
  </si>
  <si>
    <t>UC-6.9-TC-1</t>
  </si>
  <si>
    <t>Complete appointment after both check-in</t>
  </si>
  <si>
    <t>{
"message": "Cuộc hẹn đã hoàn thành!",
"data": {
"appointmentId": 1,
"status": "Completed"
}
}</t>
  </si>
  <si>
    <t>Login as User, Both users checked in</t>
  </si>
  <si>
    <t>UC-6.9-TC-2</t>
  </si>
  <si>
    <t>Complete non-existent appointment</t>
  </si>
  <si>
    <t>UC-6.9-TC-3</t>
  </si>
  <si>
    <t>Complete without authentication</t>
  </si>
  <si>
    <t>getMyRecentLocations</t>
  </si>
  <si>
    <t>UC-6.10-TC-1</t>
  </si>
  <si>
    <t>Get recent locations with default limit</t>
  </si>
  <si>
    <t>{
"userId": 10,
"limit": 10
}</t>
  </si>
  <si>
    <t>[
{
"locationId": 1,
"name": "Pet Cafe",
"address": "123 Street",
"latitude": 10.7769,
"longitude": 106.7009,
"city": "HCM",
"isPetFriendly": true
}
]</t>
  </si>
  <si>
    <t>UC-6.10-TC-2</t>
  </si>
  <si>
    <t>User with no locations</t>
  </si>
  <si>
    <t>{
"userId": 12,
"limit": 10
}</t>
  </si>
  <si>
    <t>UC-6.10-TC-3</t>
  </si>
  <si>
    <t>Get locations without authentication</t>
  </si>
  <si>
    <t>{
"limit": 10
}</t>
  </si>
  <si>
    <t>createLocation</t>
  </si>
  <si>
    <t>UC-6.11-TC-1</t>
  </si>
  <si>
    <t>Create location with valid data</t>
  </si>
  <si>
    <t>{
"name": "Dog Park",
"address": "456 Park Street",
"latitude": 10.7800,
"longitude": 106.7100,
"city": "HCM",
"district": "District 3",
"placeType": "park"
}</t>
  </si>
  <si>
    <t>{
"message": "Tạo địa điểm thành công",
"data": {
"locationId": 2,
"name": "Dog Park",
"address": "456 Park Street",
"latitude": 10.7800,
"longitude": 106.7100,
"city": "HCM",
"district": "District 3",
"isPetFriendly": true,
"placeType": "park"
}
}</t>
  </si>
  <si>
    <t>UC-6.11-TC-2</t>
  </si>
  <si>
    <t>Create location with missing required fields</t>
  </si>
  <si>
    <t>{
"name": "Dog Park"
}</t>
  </si>
  <si>
    <t>{
"message": "Địa chỉ là bắt buộc"
}</t>
  </si>
  <si>
    <t>UC-6.11-TC-3</t>
  </si>
  <si>
    <t>Create location without authentication</t>
  </si>
  <si>
    <t>{
"name": "Dog Park",
"address": "456 Park Street",
"latitude": 10.7800,
"longitude": 106.7100
}</t>
  </si>
  <si>
    <t>validatePreconditions</t>
  </si>
  <si>
    <t>UC-6.12-TC-1</t>
  </si>
  <si>
    <t>Validate with valid parameters</t>
  </si>
  <si>
    <t>{
"matchId": 10,
"inviterPetId": 10,
"inviteePetId": 11
}</t>
  </si>
  <si>
    <t>{
"isValid": true,
"message": "Đủ điều kiện tạo cuộc hẹn"
}</t>
  </si>
  <si>
    <t>UC-6.12-TC-2</t>
  </si>
  <si>
    <t>Validate with invalid matchId</t>
  </si>
  <si>
    <t>{
"matchId": 99999,
"inviterPetId": 10,
"inviteePetId": 11
}</t>
  </si>
  <si>
    <t>{
"isValid": false,
"message": "Match không tồn tại"
}</t>
  </si>
  <si>
    <t>UC-6.12-TC-3</t>
  </si>
  <si>
    <t>Validate without authentication</t>
  </si>
  <si>
    <t>getAllPolicies</t>
  </si>
  <si>
    <t>UC-9.1-TC-1</t>
  </si>
  <si>
    <t>Get all policies as Admin</t>
  </si>
  <si>
    <t>[
{
"policyId": 1,
"title": "Terms of Service"
}
]</t>
  </si>
  <si>
    <t>Login as Admin</t>
  </si>
  <si>
    <t>UC-9.1-TC-2</t>
  </si>
  <si>
    <t>Get all policies as User</t>
  </si>
  <si>
    <t>{
"message": "Forbidden"
}</t>
  </si>
  <si>
    <t>UC-9.1-TC-3</t>
  </si>
  <si>
    <t>Get all policies without auth</t>
  </si>
  <si>
    <t>getPolicyById</t>
  </si>
  <si>
    <t>UC-9.2-TC-1</t>
  </si>
  <si>
    <t>Get existing policy</t>
  </si>
  <si>
    <t>{
"policyId": 1
}</t>
  </si>
  <si>
    <t>{
"policyId": 1,
"title": "Terms of Service"
}</t>
  </si>
  <si>
    <t>UC-9.2-TC-2</t>
  </si>
  <si>
    <t>Get non-existent policy</t>
  </si>
  <si>
    <t>{
"policyId": 99999
}</t>
  </si>
  <si>
    <t>{
"message": "Không tìm thấy Policy"
}</t>
  </si>
  <si>
    <t>UC-9.2-TC-3</t>
  </si>
  <si>
    <t>Get policy without auth</t>
  </si>
  <si>
    <t>createPolicy</t>
  </si>
  <si>
    <t>UC-9.3-TC-1</t>
  </si>
  <si>
    <t>Create policy with valid data</t>
  </si>
  <si>
    <t>{
"title": "New Policy",
"code": "NEW_POLICY",
"description": "Description"
}</t>
  </si>
  <si>
    <t>{
"policyId": 2,
"title": "New Policy"
}</t>
  </si>
  <si>
    <t>UC-9.3-TC-2</t>
  </si>
  <si>
    <t>Create policy with duplicate code</t>
  </si>
  <si>
    <t>{
"title": "Test",
"code": "TERMS"
}</t>
  </si>
  <si>
    <t>{
"message": "Policy code đã tồn tại"
}</t>
  </si>
  <si>
    <t>UC-9.3-TC-3</t>
  </si>
  <si>
    <t>Create policy without auth</t>
  </si>
  <si>
    <t>{
"title": "Test"
}</t>
  </si>
  <si>
    <t>updatePolicy</t>
  </si>
  <si>
    <t>UC-9.4-TC-1</t>
  </si>
  <si>
    <t>Update policy with valid data</t>
  </si>
  <si>
    <t>{
"policyId": 1,
"title": "Updated Title"
}</t>
  </si>
  <si>
    <t>UC-9.4-TC-2</t>
  </si>
  <si>
    <t>Update non-existent policy</t>
  </si>
  <si>
    <t>UC-9.4-TC-3</t>
  </si>
  <si>
    <t>Update policy without auth</t>
  </si>
  <si>
    <t>deletePolicy</t>
  </si>
  <si>
    <t>UC-9.5-TC-1</t>
  </si>
  <si>
    <t>Delete existing policy</t>
  </si>
  <si>
    <t>{
"message": "Xóa Policy thành công"
}</t>
  </si>
  <si>
    <t>UC-9.5-TC-2</t>
  </si>
  <si>
    <t>Delete non-existent policy</t>
  </si>
  <si>
    <t>UC-9.5-TC-3</t>
  </si>
  <si>
    <t>Delete policy without auth</t>
  </si>
  <si>
    <t>getVersionsByPolicyId</t>
  </si>
  <si>
    <t>UC-9.6-TC-1</t>
  </si>
  <si>
    <t>Get versions of policy</t>
  </si>
  <si>
    <t>[
{
"versionId": 1,
"status": "ACTIVE"
}
]</t>
  </si>
  <si>
    <t>UC-9.6-TC-2</t>
  </si>
  <si>
    <t>Get versions of non-existent policy</t>
  </si>
  <si>
    <t>UC-9.6-TC-3</t>
  </si>
  <si>
    <t>Get versions without auth</t>
  </si>
  <si>
    <t>getVersionById</t>
  </si>
  <si>
    <t>UC-9.7-TC-1</t>
  </si>
  <si>
    <t>Get existing version</t>
  </si>
  <si>
    <t>{
"versionId": 1
}</t>
  </si>
  <si>
    <t>{
"versionId": 1,
"content": "..."
}</t>
  </si>
  <si>
    <t>UC-9.7-TC-2</t>
  </si>
  <si>
    <t>Get non-existent version</t>
  </si>
  <si>
    <t>{
"versionId": 99999
}</t>
  </si>
  <si>
    <t>{
"message": "Không tìm thấy Version"
}</t>
  </si>
  <si>
    <t>UC-9.7-TC-3</t>
  </si>
  <si>
    <t>Get version without auth</t>
  </si>
  <si>
    <t>createVersion</t>
  </si>
  <si>
    <t>UC-9.8-TC-1</t>
  </si>
  <si>
    <t>Create version with valid data</t>
  </si>
  <si>
    <t>{
"policyId": 1,
"content": "New content",
"versionNumber": "2.0"
}</t>
  </si>
  <si>
    <t>{
"versionId": 2,
"status": "DRAFT"
}</t>
  </si>
  <si>
    <t>UC-9.8-TC-2</t>
  </si>
  <si>
    <t>Create version for non-existent policy</t>
  </si>
  <si>
    <t>UC-9.8-TC-3</t>
  </si>
  <si>
    <t>Create version without auth</t>
  </si>
  <si>
    <t>updateVersion</t>
  </si>
  <si>
    <t>UC-9.9-TC-1</t>
  </si>
  <si>
    <t>Update draft version</t>
  </si>
  <si>
    <t>{
"versionId": 1,
"content": "Updated"
}</t>
  </si>
  <si>
    <t>UC-9.9-TC-2</t>
  </si>
  <si>
    <t>Update non-existent version</t>
  </si>
  <si>
    <t>UC-9.9-TC-3</t>
  </si>
  <si>
    <t>Update version without auth</t>
  </si>
  <si>
    <t>publishVersion</t>
  </si>
  <si>
    <t>UC-9.10-TC-1</t>
  </si>
  <si>
    <t>Publish draft version</t>
  </si>
  <si>
    <t>{
"versionId": 1,
"status": "ACTIVE"
}</t>
  </si>
  <si>
    <t>UC-9.10-TC-2</t>
  </si>
  <si>
    <t>Publish non-existent version</t>
  </si>
  <si>
    <t>UC-9.10-TC-3</t>
  </si>
  <si>
    <t>Publish version without auth</t>
  </si>
  <si>
    <t>deleteVersion</t>
  </si>
  <si>
    <t>UC-9.11-TC-1</t>
  </si>
  <si>
    <t>Delete draft version</t>
  </si>
  <si>
    <t>{
"message": "Xóa Version thành công"
}</t>
  </si>
  <si>
    <t>UC-9.11-TC-2</t>
  </si>
  <si>
    <t>Delete non-existent version</t>
  </si>
  <si>
    <t>UC-9.11-TC-3</t>
  </si>
  <si>
    <t>Delete version without auth</t>
  </si>
  <si>
    <t>getAcceptStats</t>
  </si>
  <si>
    <t>UC-9.12-TC-1</t>
  </si>
  <si>
    <t>Get accept stats as Admin</t>
  </si>
  <si>
    <t>[
{
"policyId": 1,
"acceptCount": 100
}
]</t>
  </si>
  <si>
    <t>UC-9.12-TC-2</t>
  </si>
  <si>
    <t>Get accept stats as User</t>
  </si>
  <si>
    <t>UC-9.12-TC-3</t>
  </si>
  <si>
    <t>Get accept stats without auth</t>
  </si>
  <si>
    <t>getAllActivePolicies</t>
  </si>
  <si>
    <t>UC-9.13-TC-1</t>
  </si>
  <si>
    <t>Get active policies as User</t>
  </si>
  <si>
    <t>[
{
"policyId": 1,
"title": "Terms"
}
]</t>
  </si>
  <si>
    <t>UC-9.13-TC-2</t>
  </si>
  <si>
    <t>Get active policies without auth</t>
  </si>
  <si>
    <t>[
{...}
]</t>
  </si>
  <si>
    <t>UC-9.13-TC-3</t>
  </si>
  <si>
    <t>Get active policies as Admin</t>
  </si>
  <si>
    <t>getActivePolicyContent</t>
  </si>
  <si>
    <t>UC-9.14-TC-1</t>
  </si>
  <si>
    <t>Get policy by code</t>
  </si>
  <si>
    <t>{
"policyCode": "TERMS"
}</t>
  </si>
  <si>
    <t>{
"title": "Terms",
"content": "..."
}</t>
  </si>
  <si>
    <t>UC-9.14-TC-2</t>
  </si>
  <si>
    <t>Get non-existent policy code</t>
  </si>
  <si>
    <t>{
"policyCode": "INVALID"
}</t>
  </si>
  <si>
    <t>UC-9.14-TC-3</t>
  </si>
  <si>
    <t>{
"title": "Terms"
}</t>
  </si>
  <si>
    <t>checkPolicyStatus</t>
  </si>
  <si>
    <t>UC-9.15-TC-1</t>
  </si>
  <si>
    <t>Check status as User</t>
  </si>
  <si>
    <t>{
"allAccepted": true
}</t>
  </si>
  <si>
    <t>UC-9.15-TC-2</t>
  </si>
  <si>
    <t>Check status as Admin</t>
  </si>
  <si>
    <t>UC-9.15-TC-3</t>
  </si>
  <si>
    <t>Check status without auth</t>
  </si>
  <si>
    <t>getPendingPolicies</t>
  </si>
  <si>
    <t>UC-9.16-TC-1</t>
  </si>
  <si>
    <t>Get pending policies as User</t>
  </si>
  <si>
    <t>[
{
"policyId": 1
}
]</t>
  </si>
  <si>
    <t>UC-9.16-TC-2</t>
  </si>
  <si>
    <t>Get pending policies as Admin</t>
  </si>
  <si>
    <t>UC-9.16-TC-3</t>
  </si>
  <si>
    <t>Get pending without auth</t>
  </si>
  <si>
    <t>acceptPolicy</t>
  </si>
  <si>
    <t>UC-9.17-TC-1</t>
  </si>
  <si>
    <t>Accept policy as User</t>
  </si>
  <si>
    <t>{
"policyVersionId": 1
}</t>
  </si>
  <si>
    <t>UC-9.17-TC-2</t>
  </si>
  <si>
    <t>Accept non-existent policy</t>
  </si>
  <si>
    <t>{
"policyVersionId": 99999
}</t>
  </si>
  <si>
    <t>UC-9.17-TC-3</t>
  </si>
  <si>
    <t>Accept without auth</t>
  </si>
  <si>
    <t>acceptMultiplePolicies</t>
  </si>
  <si>
    <t>UC-9.18-TC-1</t>
  </si>
  <si>
    <t>Accept multiple policies</t>
  </si>
  <si>
    <t>{
"policyVersionIds": [1, 2]
}</t>
  </si>
  <si>
    <t>UC-9.18-TC-2</t>
  </si>
  <si>
    <t>Accept empty list</t>
  </si>
  <si>
    <t>{
"policyVersionIds": []
}</t>
  </si>
  <si>
    <t>UC-9.18-TC-3</t>
  </si>
  <si>
    <t>{
"policyVersionIds": [1]
}</t>
  </si>
  <si>
    <t>getAcceptHistory</t>
  </si>
  <si>
    <t>UC-9.19-TC-1</t>
  </si>
  <si>
    <t>Get history as User</t>
  </si>
  <si>
    <t>[
{
"policyId": 1,
"acceptedAt": "..."
}
]</t>
  </si>
  <si>
    <t>UC-9.19-TC-2</t>
  </si>
  <si>
    <t>Get history as Admin</t>
  </si>
  <si>
    <t>UC-9.19-TC-3</t>
  </si>
  <si>
    <t>Get history without auth</t>
  </si>
  <si>
    <t>getAllEvents</t>
  </si>
  <si>
    <t>UC-8.1-TC-1</t>
  </si>
  <si>
    <t>Get all events as Admin</t>
  </si>
  <si>
    <t>[
{
"eventId": 1,
"title": "Cuộc thi ảnh",
"status": "Active"
}
]</t>
  </si>
  <si>
    <t>UC-8.1-TC-2</t>
  </si>
  <si>
    <t>Get all events as User</t>
  </si>
  <si>
    <t>UC-8.1-TC-3</t>
  </si>
  <si>
    <t>Get all events without auth</t>
  </si>
  <si>
    <t>reateEvent</t>
  </si>
  <si>
    <t>UC-8.2-TC-1</t>
  </si>
  <si>
    <t>Create event with valid data</t>
  </si>
  <si>
    <t>{
"title": "Cuộc thi ảnh",
"description": "Mô tả sự kiện",
"startDate": "2026-02-01",
"endDate": "2026-02-28"
}</t>
  </si>
  <si>
    <t>{
"message": "Tạo sự kiện thành công",
"data": {...}
}</t>
  </si>
  <si>
    <t>createEvent</t>
  </si>
  <si>
    <t>UC-8.2-TC-2</t>
  </si>
  <si>
    <t>Create event with invalid dates</t>
  </si>
  <si>
    <t>{
"title": "Test",
"startDate": "2026-02-28",
"endDate": "2026-02-01"
}</t>
  </si>
  <si>
    <t>{
"message": "Ngày bắt đầu phải trước ngày kết thúc"
}</t>
  </si>
  <si>
    <t>UC-8.2-TC-3</t>
  </si>
  <si>
    <t>Create event without auth</t>
  </si>
  <si>
    <t>updateEvent</t>
  </si>
  <si>
    <t>UC-8.3-TC-1</t>
  </si>
  <si>
    <t>Update event with valid data</t>
  </si>
  <si>
    <t>{
"eventId": 1,
"title": "Updated Title"
}</t>
  </si>
  <si>
    <t>{
"message": "Cập nhật sự kiện thành công"
}</t>
  </si>
  <si>
    <t>UC-8.3-TC-2</t>
  </si>
  <si>
    <t>Update non-existent event</t>
  </si>
  <si>
    <t>{
"eventId": 99999,
"title": "Test"
}</t>
  </si>
  <si>
    <t>{
"message": "Không tìm thấy sự kiện"
}</t>
  </si>
  <si>
    <t>UC-8.3-TC-3</t>
  </si>
  <si>
    <t>Update event without auth</t>
  </si>
  <si>
    <t>{
"eventId": 1
}</t>
  </si>
  <si>
    <t>cancelEvent</t>
  </si>
  <si>
    <t>UC-8.4-TC-1</t>
  </si>
  <si>
    <t>Cancel event with reason</t>
  </si>
  <si>
    <t>{
"eventId": 1,
"reason": "Hủy do lỗi"
}</t>
  </si>
  <si>
    <t>{
"message": "Đã hủy sự kiện"
}</t>
  </si>
  <si>
    <t>UC-8.4-TC-2</t>
  </si>
  <si>
    <t>Cancel non-existent event</t>
  </si>
  <si>
    <t>{
"eventId": 99999
}</t>
  </si>
  <si>
    <t>UC-8.4-TC-3</t>
  </si>
  <si>
    <t>Cancel event without auth</t>
  </si>
  <si>
    <t>getActiveEvents</t>
  </si>
  <si>
    <t>UC-8.5-TC-1</t>
  </si>
  <si>
    <t>Get active events as User</t>
  </si>
  <si>
    <t>[
{
"eventId": 1,
"title": "Cuộc thi",
"status": "Active"
}
]</t>
  </si>
  <si>
    <t>UC-8.5-TC-2</t>
  </si>
  <si>
    <t>Get active events without auth</t>
  </si>
  <si>
    <t>UC-8.5-TC-3</t>
  </si>
  <si>
    <t>Get active events as Admin</t>
  </si>
  <si>
    <t>getEventById</t>
  </si>
  <si>
    <t>UC-8.6-TC-1</t>
  </si>
  <si>
    <t>Get existing event by ID</t>
  </si>
  <si>
    <t>{
"eventId": 1,
"title": "Cuộc thi ảnh"
}</t>
  </si>
  <si>
    <t>UC-8.6-TC-2</t>
  </si>
  <si>
    <t>Get non-existent event</t>
  </si>
  <si>
    <t>UC-8.6-TC-3</t>
  </si>
  <si>
    <t>Get event without auth</t>
  </si>
  <si>
    <t>submitEntry</t>
  </si>
  <si>
    <t>UC-8.7-TC-1</t>
  </si>
  <si>
    <t>Submit entry with valid data</t>
  </si>
  <si>
    <t>{
"eventId": 1,
"petId": 10,
"mediaUrl": "https://...",
"caption": "Mô tả"
}</t>
  </si>
  <si>
    <t>{
"message": "Đăng bài dự thi thành công!"
}</t>
  </si>
  <si>
    <t>UC-8.7-TC-2</t>
  </si>
  <si>
    <t>Submit entry to non-existent event</t>
  </si>
  <si>
    <t>{
"eventId": 99999,
"petId": 10
}</t>
  </si>
  <si>
    <t>UC-8.7-TC-3</t>
  </si>
  <si>
    <t>Submit entry without auth</t>
  </si>
  <si>
    <t>{
"eventId": 1,
"petId": 10
}</t>
  </si>
  <si>
    <t>vote</t>
  </si>
  <si>
    <t>UC-8.8-TC-1</t>
  </si>
  <si>
    <t>Vote for submission</t>
  </si>
  <si>
    <t>{
"submissionId": 1
}</t>
  </si>
  <si>
    <t>{
"message": "Đã vote thành công!"
}</t>
  </si>
  <si>
    <t>UC-8.8-TC-2</t>
  </si>
  <si>
    <t>Vote for non-existent submission</t>
  </si>
  <si>
    <t>{
"submissionId": 99999
}</t>
  </si>
  <si>
    <t>{
"message": "Không tìm thấy bài dự thi"
}</t>
  </si>
  <si>
    <t>UC-8.8-TC-3</t>
  </si>
  <si>
    <t>Vote without auth</t>
  </si>
  <si>
    <t>unvote</t>
  </si>
  <si>
    <t>UC-8.9-TC-1</t>
  </si>
  <si>
    <t>Unvote from submission</t>
  </si>
  <si>
    <t>{
"message": "Đã bỏ vote"
}</t>
  </si>
  <si>
    <t>UC-8.9-TC-2</t>
  </si>
  <si>
    <t>Unvote from non-existent submission</t>
  </si>
  <si>
    <t>UC-8.9-TC-3</t>
  </si>
  <si>
    <t>Unvote without auth</t>
  </si>
  <si>
    <t>getLeaderboard</t>
  </si>
  <si>
    <t>UC-8.10-TC-1</t>
  </si>
  <si>
    <t>Get leaderboard of event</t>
  </si>
  <si>
    <t>[
{
"rank": 1,
"submissionId": 1,
"voteCount": 100
}
]</t>
  </si>
  <si>
    <t>UC-8.10-TC-2</t>
  </si>
  <si>
    <t>Get leaderboard without auth</t>
  </si>
  <si>
    <t>UC-8.10-TC-3</t>
  </si>
  <si>
    <t>Get leaderboard of non-existent event</t>
  </si>
  <si>
    <t>uploadMedia</t>
  </si>
  <si>
    <t>UC-8.11-TC-1</t>
  </si>
  <si>
    <t>Upload valid image</t>
  </si>
  <si>
    <t>{
"file": "image.jpg",
"contentType": "image/jpeg"
}</t>
  </si>
  <si>
    <t>{
"message": "Upload thành công",
"mediaUrl": "https://...",
"mediaType": "image"
}</t>
  </si>
  <si>
    <t>UC-8.11-TC-2</t>
  </si>
  <si>
    <t>Upload without file</t>
  </si>
  <si>
    <t>{
"message": "Vui lòng chọn file"
}</t>
  </si>
  <si>
    <t>UC-8.11-TC-3</t>
  </si>
  <si>
    <t>Upload without auth</t>
  </si>
  <si>
    <t>{
"file": "image.jpg"
}</t>
  </si>
  <si>
    <t>uploadCoverImage</t>
  </si>
  <si>
    <t>UC-8.12-TC-1</t>
  </si>
  <si>
    <t>Upload cover image</t>
  </si>
  <si>
    <t>{
"file": "cover.jpg",
"contentType": "image/jpeg"
}</t>
  </si>
  <si>
    <t>{
"message": "Upload thành công",
"coverImageUrl": "https://..."
}</t>
  </si>
  <si>
    <t>UC-8.12-TC-2</t>
  </si>
  <si>
    <t>UC-8.12-TC-3</t>
  </si>
  <si>
    <t>{
"file": "cover.jpg"
}</t>
  </si>
  <si>
    <t>getAllBadWords</t>
  </si>
  <si>
    <t>Get all bad words as Admin</t>
  </si>
  <si>
    <t>[
{
"badWordId": 1,
"word": "spam",
"isRegex": false,
"level": 1,
"category": "spam",
"isActive": true
}
]</t>
  </si>
  <si>
    <t>Get all bad words as User</t>
  </si>
  <si>
    <t>Get all bad words without authentication</t>
  </si>
  <si>
    <t>etBadWordById</t>
  </si>
  <si>
    <t>Get existing bad word by ID</t>
  </si>
  <si>
    <t>{
"id": 1
}</t>
  </si>
  <si>
    <t>{
"badWordId": 1,
"word": "spam",
"isRegex": false,
"level": 1,
"category": "spam",
"isActive": true
}</t>
  </si>
  <si>
    <t>getBadWordById</t>
  </si>
  <si>
    <t>Get non-existent bad word</t>
  </si>
  <si>
    <t>{
"id": 99999
}</t>
  </si>
  <si>
    <t>{
"message": "Không tìm thấy từ cấm."
}</t>
  </si>
  <si>
    <t>Get bad word without authentication</t>
  </si>
  <si>
    <t>createBadWord</t>
  </si>
  <si>
    <t>Create bad word with valid data</t>
  </si>
  <si>
    <t>{
"word": "newbadword",
"isRegex": false,
"level": 2,
"category": "offensive"
}</t>
  </si>
  <si>
    <t>{
"badWordId": 2,
"word": "newbadword",
"isRegex": false,
"level": 2,
"category": "offensive",
"isActive": true
}</t>
  </si>
  <si>
    <t>Create bad word with duplicate word</t>
  </si>
  <si>
    <t>{
"word": "spam",
"isRegex": false,
"level": 1,
"category": "spam"
}</t>
  </si>
  <si>
    <t>{
"message": "Từ cấm đã tồn tại."
}</t>
  </si>
  <si>
    <t>UC-7.3-TC-3</t>
  </si>
  <si>
    <t>Create bad word without authentication</t>
  </si>
  <si>
    <t>{
"word": "test",
"isRegex": false,
"level": 1,
"category": "test"
}</t>
  </si>
  <si>
    <t>updateBadWord</t>
  </si>
  <si>
    <t>Update bad word with valid data</t>
  </si>
  <si>
    <t>{
"id": 1,
"word": "updatedword",
"isRegex": true,
"level": 3,
"isActive": true
}</t>
  </si>
  <si>
    <t>{
"badWordId": 1,
"word": "updatedword",
"isRegex": true,
"level": 3,
"category": "spam",
"isActive": true
}</t>
  </si>
  <si>
    <t>Update non-existent bad word</t>
  </si>
  <si>
    <t>{
"id": 99999,
"word": "test"
}</t>
  </si>
  <si>
    <t>Update bad word without authentication</t>
  </si>
  <si>
    <t>{
"id": 1,
"word": "test"
}</t>
  </si>
  <si>
    <t>deleteBadWord</t>
  </si>
  <si>
    <t>Delete existing bad word</t>
  </si>
  <si>
    <t>{
"message": "Xóa từ cấm thành công."
}</t>
  </si>
  <si>
    <t>Delete non-existent bad word</t>
  </si>
  <si>
    <t>Delete bad word without authentication</t>
  </si>
  <si>
    <t>reloadCache</t>
  </si>
  <si>
    <t>UC-7.6-TC-1</t>
  </si>
  <si>
    <t>Reload cache as Admin</t>
  </si>
  <si>
    <t>{
"message": "Đã reload cache thành công."
}</t>
  </si>
  <si>
    <t>UC-7.6-TC-2</t>
  </si>
  <si>
    <t>Reload cache as User</t>
  </si>
  <si>
    <t>UC-7.6-TC-3</t>
  </si>
  <si>
    <t>Reload cache without authentication</t>
  </si>
  <si>
    <t>Get all notifications as admin</t>
  </si>
  <si>
    <t>[
  {
    "notificationId": 1,
    "title": "Thông báo hệ thống",
    "message": "Chào mừng bạn đến với Pawnder",
    "createdAt": "2025-01-15T10:00:00",
    "userId": 1,
    "userName": "Nguyễn Văn A"
  },
  {
    "notificationId": 2,
    "title": "Xác nhận chuyên gia",
    "message": "Yêu cầu của bạn đã được xác nhận",
    "createdAt": "2025-01-15T11:00:00",
    "userId": 2,
    "userName": "Trần Thị B"
  }
]</t>
  </si>
  <si>
    <t>Get all notifications when no notifications exist</t>
  </si>
  <si>
    <t>Create notification with valid data</t>
  </si>
  <si>
    <t>{
  "userId": 1,
  "title": "Thông báo mới",
  "message": "Đây là nội dung thông báo"
}</t>
  </si>
  <si>
    <t>{
  "notificationId": 10,
  "userId": 1,
  "title": "Thông báo mới",
  "message": "Đây là nội dung thông báo",
  "type": "expert_confirmation",
  "isRead": false,
  "referenceId": null,
  "createdAt": "2025-01-15T12:00:00",
  "updatedAt": "2025-01-15T12:00:00"
}</t>
  </si>
  <si>
    <t>Create notification with invalid userId</t>
  </si>
  <si>
    <t>{
  "userId": 999,
  "title": "Thông báo mới",
  "message": "Đây là nội dung thông báo"
}</t>
  </si>
  <si>
    <t>{
  "message": "User với UserId 999 không tồn tại hoặc đã bị xóa",
  "error": "User với UserId 999 không tồn tại hoặc đã bị xóa"
}</t>
  </si>
  <si>
    <t>Create notification with empty title</t>
  </si>
  <si>
    <t>{
  "userId": 1,
  "title": "",
  "message": "Đây là nội dung thông báo"
}</t>
  </si>
  <si>
    <t>{
  "message": "Title không được để trống",
  "error": "Title không được để trống"
}</t>
  </si>
  <si>
    <t>UC-6.2-TC-4</t>
  </si>
  <si>
    <t>Create notification with empty message</t>
  </si>
  <si>
    <t>{
  "userId": 1,
  "title": "Thông báo mới",
  "message": ""
}</t>
  </si>
  <si>
    <t>{
  "message": "Message không được để trống",
  "error": "Message không được để trống"
}</t>
  </si>
  <si>
    <t>UC-6.2-TC-5</t>
  </si>
  <si>
    <t>Create notification with null userId</t>
  </si>
  <si>
    <t>{
  "userId": null,
  "title": "Thông báo mới",
  "message": "Đây là nội dung thông báo"
}</t>
  </si>
  <si>
    <t>{
  "message": "UserId không hợp lệ",
  "error": "UserId không hợp lệ"
}</t>
  </si>
  <si>
    <t>Get notification by valid id</t>
  </si>
  <si>
    <t>{
  "notificationId": 1
}</t>
  </si>
  <si>
    <t>{
  "notificationId": 1,
  "title": "Thông báo hệ thống",
  "message": "Chào mừng bạn đến với Pawnder",
  "createdAt": "2025-01-15T10:00:00",
  "userId": 1,
  "userName": "Nguyễn Văn A"
}</t>
  </si>
  <si>
    <t>Get notification by non-existent id</t>
  </si>
  <si>
    <t>{
  "notificationId": 999
}</t>
  </si>
  <si>
    <t>{
  "message": "Không tìm thấy thông báo"
}</t>
  </si>
  <si>
    <t>Delete notification with valid id</t>
  </si>
  <si>
    <t>{
  "message": "Đã xóa thông báo thành công"
}</t>
  </si>
  <si>
    <t>Delete notification with non-existent id</t>
  </si>
  <si>
    <t>Get notifications by valid userId</t>
  </si>
  <si>
    <t>[
  {
    "notificationId": 1,
    "userId": 1,
    "title": "Thông báo hệ thống",
    "message": "Chào mừng bạn đến với Pawnder",
    "type": "system",
    "isRead": false,
    "referenceId": null,
    "createdAt": "2025-01-15T10:00:00",
    "updatedAt": "2025-01-15T10:00:00"
  },
  {
    "notificationId": 3,
    "userId": 1,
    "title": "Xác nhận match",
    "message": "Bạn có một match mới",
    "type": "expert_confirmation",
    "isRead": true,
    "referenceId": null,
    "createdAt": "2025-01-14T09:00:00",
    "updatedAt": "2025-01-14T09:30:00"
  }
]</t>
  </si>
  <si>
    <t>Get notifications for user with no notifications</t>
  </si>
  <si>
    <t>Mark notification as read with valid id</t>
  </si>
  <si>
    <t>{
  "message": "Đã đánh dấu đã đọc"
}</t>
  </si>
  <si>
    <t>Mark notification as read with non-existent id</t>
  </si>
  <si>
    <t>Mark all notifications as read for valid user</t>
  </si>
  <si>
    <t>{
  "message": "Đã đánh dấu 3 thông báo đã đọc"
}</t>
  </si>
  <si>
    <t>Mark all notifications as read for user with no unread notifications</t>
  </si>
  <si>
    <t>{
  "message": "Đã đánh dấu 0 thông báo đã đọc"
}</t>
  </si>
  <si>
    <t>Mark all notifications as read for user with no notifications</t>
  </si>
  <si>
    <t>Get unread count for user with unread notifications</t>
  </si>
  <si>
    <t>{
  "count": 5
}</t>
  </si>
  <si>
    <t>Get unread count for user with no unread notifications</t>
  </si>
  <si>
    <t>{
  "count": 0
}</t>
  </si>
  <si>
    <t>Get unread count for user with no notifications</t>
  </si>
  <si>
    <t>UC-5.1-TC-1</t>
  </si>
  <si>
    <t>Get likes received for user without petId filter</t>
  </si>
  <si>
    <t>[
  {
    "matchId": 1,
    "fromUserId": 2,
    "toUserId": 1,
    "status": "Pending",
    "createdAt": "2025-01-15T10:00:00",
    "isMatch": false,
    "owner": {
      "userId": 2,
      "fullName": "Nguyễn Văn A",
      "gender": "male",
      "address": {
        "city": "Hồ Chí Minh",
        "district": "Quận 1",
        "ward": "Phường Bến Nghé",
        "latitude": 10.7769,
        "longitude": 106.7009
      }
    },
    "pet": {
      "petId": 5,
      "name": "Mèo Con",
      "breed": "Persian",
      "gender": "male",
      "age": 2,
      "description": "Mèo dễ thương"
    },
    "petPhotos": [
      "https://example.com/pet1.jpg"
    ]
  }
]</t>
  </si>
  <si>
    <t>UC-5.1-TC-2</t>
  </si>
  <si>
    <t>Get likes received for user with petId filter</t>
  </si>
  <si>
    <t>{
  "userId": 1,
  "petId": 3
}</t>
  </si>
  <si>
    <t>[
  {
    "matchId": 2,
    "fromUserId": 3,
    "toUserId": 1,
    "status": "Pending",
    "createdAt": "2025-01-15T11:00:00",
    "isMatch": false,
    "owner": {
      "userId": 3,
      "fullName": "Trần Thị B",
      "gender": "female",
      "address": {
        "city": "Hà Nội",
        "district": "Quận Ba Đình",
        "ward": "Phường Điện Biên",
        "latitude": 21.0285,
        "longitude": 105.8542
      }
    },
    "pet": {
      "petId": 8,
      "name": "Chó Con",
      "breed": "Golden Retriever",
      "gender": "female",
      "age": 3,
      "description": "Chó thân thiện"
    },
    "petPhotos": [
      "https://example.com/pet2.jpg"
    ]
  }
]</t>
  </si>
  <si>
    <t>UC-5.1-TC-3</t>
  </si>
  <si>
    <t>Get likes received when user has no likes</t>
  </si>
  <si>
    <t>UC-5.2-TC-1</t>
  </si>
  <si>
    <t>Get stats for user with matches and likes</t>
  </si>
  <si>
    <t>{
  "matches": 5,
  "likes": 3
}</t>
  </si>
  <si>
    <t>UC-5.2-TC-2</t>
  </si>
  <si>
    <t>Get stats for user with no pets</t>
  </si>
  <si>
    <t>{
  "matches": 0,
  "likes": 0
}</t>
  </si>
  <si>
    <t>UC-5.2-TC-3</t>
  </si>
  <si>
    <t>Get stats for user with only matches</t>
  </si>
  <si>
    <t>{
  "matches": 2,
  "likes": 0
}</t>
  </si>
  <si>
    <t>UC-5.3-TC-1</t>
  </si>
  <si>
    <t>Send like with valid data</t>
  </si>
  <si>
    <t>{
  "fromUserId": 1,
  "toUserId": 2,
  "fromPetId": 3,
  "toPetId": 5
}</t>
  </si>
  <si>
    <t>{
  "matchId": 10,
  "fromUserId": 1,
  "toUserId": 2,
  "status": "Pending",
  "isMatch": false,
  "message": "Like sent",
  "remainingMatches": 9
}</t>
  </si>
  <si>
    <t>UC-5.3-TC-2</t>
  </si>
  <si>
    <t>Send like that creates a match (mutual like)</t>
  </si>
  <si>
    <t>{"fromUserId": 1,"toUserId": 2,"fromPetId": 3,"toPetId": 5}</t>
  </si>
  <si>
    <t>{"matchId": 11,"fromUserId": 1,"toUserId": 2,"status": "Accepted","isMatch": true,"message": "It's a match!"}</t>
  </si>
  <si>
    <t>UC-5.3-TC-3</t>
  </si>
  <si>
    <t>Send like to yourself (invalid)</t>
  </si>
  <si>
    <t>{"fromUserId": 1,"toUserId": 1,"fromPetId": 3,"toPetId": 5}</t>
  </si>
  <si>
    <t>{"message": "Cannot like yourself","error": "Cannot like yourself"}</t>
  </si>
  <si>
    <t>UC-5.3-TC-4</t>
  </si>
  <si>
    <t>Send like that is already sent</t>
  </si>
  <si>
    <t>{"message": "Already liked this pet","error": "Already liked this pet"}</t>
  </si>
  <si>
    <t>UC-5.3-TC-5</t>
  </si>
  <si>
    <t>Send like when daily limit exceeded</t>
  </si>
  <si>
    <t>{"message": "Bạn đã hết lượt gửi match hôm nay! Nâng cấp lên VIP để sử dụng không giới hạn. Còn lại: 0","actionType": "request_match"}</t>
  </si>
  <si>
    <t>UC-5.4-TC-1</t>
  </si>
  <si>
    <t>Respond to like with match action</t>
  </si>
  <si>
    <t>{
  "matchId": 1,
  "action": "match"
}</t>
  </si>
  <si>
    <t>{
  "matchId": 1,
  "status": "Accepted",
  "isMatch": true,
  "message": "It's a match!"
}</t>
  </si>
  <si>
    <t>UC-5.4-TC-2</t>
  </si>
  <si>
    <t>Respond to like with pass action</t>
  </si>
  <si>
    <t>{
  "matchId": 1,
  "action": "pass"
}</t>
  </si>
  <si>
    <t>{
  "message": "Passed"
}</t>
  </si>
  <si>
    <t>UC-5.4-TC-3</t>
  </si>
  <si>
    <t>Respond to accepted match with pass (unmatch)</t>
  </si>
  <si>
    <t>{"matchId": 2,"action": "pass"}</t>
  </si>
  <si>
    <t>{"message": "Unmatched"}</t>
  </si>
  <si>
    <t>UC-5.4-TC-4</t>
  </si>
  <si>
    <t>Respond to like that doesn't exist</t>
  </si>
  <si>
    <t>{"matchId": 999,"action": "match"}</t>
  </si>
  <si>
    <t>{"message": "Like request not found"}</t>
  </si>
  <si>
    <t>UC-5.4-TC-5</t>
  </si>
  <si>
    <t>Respond to like with invalid action</t>
  </si>
  <si>
    <t>{"matchId": 1,"action": "invalid"}</t>
  </si>
  <si>
    <t>{"message": "Invalid action. Use 'match' or 'pass'"}</t>
  </si>
  <si>
    <t>UC-5.5-TC-1</t>
  </si>
  <si>
    <t>Get badge counts for user without petId filter</t>
  </si>
  <si>
    <t>{
  "unreadChats": [1, 2, 3],
  "favoriteBadge": 5
}</t>
  </si>
  <si>
    <t>UC-5.5-TC-2</t>
  </si>
  <si>
    <t>Get badge counts for user with petId filter</t>
  </si>
  <si>
    <t>{
  "unreadChats": [1, 2],
  "favoriteBadge": 2
}</t>
  </si>
  <si>
    <t>UC-5.5-TC-3</t>
  </si>
  <si>
    <t>Get badge counts for user with no pets</t>
  </si>
  <si>
    <t>{
  "unreadChats": [],
  "favoriteBadge": 0
}</t>
  </si>
  <si>
    <t>UC-5.5-TC-4</t>
  </si>
  <si>
    <t>Get badge counts for user with no unread chats and likes</t>
  </si>
  <si>
    <t>{
  "userId": 100
}</t>
  </si>
  <si>
    <t>Get all expert confirmations with existing data</t>
  </si>
  <si>
    <t>[
  {
    "userId": 1,
    "chatAiId": 1,
    "expertId": 2,
    "status": "pending",
    "message": null,
    "userQuestion": "Cách chăm sóc chó con?",
    "createdAt": "2025-01-15T10:00:00",
    "updatedAt": "2025-01-15T10:00:00"
  },
  {
    "userId": 1,
    "chatAiId": 2,
    "expertId": 2,
    "status": "confirmed",
    "message": "Thông tin chính xác",
    "userQuestion": "Chó con ăn gì?",
    "createdAt": "2025-01-16T09:00:00",
    "updatedAt": "2025-01-16T10:00:00"
  }
]</t>
  </si>
  <si>
    <t>Get all expert confirmations with no data</t>
  </si>
  <si>
    <t>Get expert confirmation with valid IDs</t>
  </si>
  <si>
    <t>{
  "expertId": 2,
  "userId": 1,
  "chatId": 1
}</t>
  </si>
  <si>
    <t>{
  "userId": 1,
  "chatAiId": 1,
  "expertId": 2,
  "status": "pending",
  "message": null,
  "userQuestion": "Cách chăm sóc chó con?",
  "createdAt": "2025-01-15T10:00:00",
  "updatedAt": "2025-01-15T10:00:00"
}</t>
  </si>
  <si>
    <t>Get expert confirmation with non-existent IDs</t>
  </si>
  <si>
    <t>{
  "expertId": 9999,
  "userId": 9999,
  "chatId": 9999
}</t>
  </si>
  <si>
    <t>{
  "message": "Yêu cầu xác nhận không tồn tại."
}</t>
  </si>
  <si>
    <t>Get user expert confirmations with existing data</t>
  </si>
  <si>
    <t>Get user expert confirmations with no data</t>
  </si>
  <si>
    <t>Get user expert confirmations with non-existent user</t>
  </si>
  <si>
    <t>{
  "userId": 9999
}</t>
  </si>
  <si>
    <t>{
  "message": "Người dùng không tồn tại."
}</t>
  </si>
  <si>
    <t>Create expert confirmation with valid data and expert ID</t>
  </si>
  <si>
    <t>{
  "userId": 1,
  "chatId": 1,
  "expertId": 2,
  "userQuestion": "Cách chăm sóc chó con?",
  "message": null
}</t>
  </si>
  <si>
    <t>{
  "userId": 1,
  "chatAiId": 1,
  "expertId": 2,
  "status": "pending",
  "message": null,
  "userQuestion": "Cách chăm sóc chó con?",
  "resultMessage": "Yêu cầu chuyên gia xác nhận đã được tạo thành công.",
  "createdAt": "2025-04-18T22:00:00",
  "updatedAt": "2025-04-18T22:00:00"
}</t>
  </si>
  <si>
    <t>Create expert confirmation with auto-assign expert</t>
  </si>
  <si>
    <t>{
  "userId": 1,
  "chatId": 1,
  "expertId": null,
  "userQuestion": "Cách chăm sóc chó con?",
  "message": null
}</t>
  </si>
  <si>
    <t>Create expert confirmation with non-existent user</t>
  </si>
  <si>
    <t>{
  "userId": 9999,
  "chatId": 1,
  "expertId": 2,
  "userQuestion": "Test question?",
  "message": null
}</t>
  </si>
  <si>
    <t>UC-9.4-TC-4</t>
  </si>
  <si>
    <t>Create expert confirmation with non-existent chat</t>
  </si>
  <si>
    <t>{
  "userId": 1,
  "chatId": 9999,
  "expertId": 2,
  "userQuestion": "Test question?",
  "message": null
}</t>
  </si>
  <si>
    <t>{
  "message": "Chat AI không tồn tại."
}</t>
  </si>
  <si>
    <t>UC-9.4-TC-5</t>
  </si>
  <si>
    <t>Create expert confirmation with non-existent expert</t>
  </si>
  <si>
    <t>{
  "userId": 1,
  "chatId": 1,
  "expertId": 9999,
  "userQuestion": "Test question?",
  "message": null
}</t>
  </si>
  <si>
    <t>{
  "message": "Chuyên gia không tồn tại."
}</t>
  </si>
  <si>
    <t>UC-9.4-TC-6</t>
  </si>
  <si>
    <t>Create expert confirmation with duplicate request</t>
  </si>
  <si>
    <t>{
  "userId": 1,
  "chatId": 1,
  "expertId": 2,
  "userQuestion": "Test question?",
  "message": null
}</t>
  </si>
  <si>
    <t>{
  "message": "Yêu cầu xác nhận đã tồn tại."
}</t>
  </si>
  <si>
    <t>UC-9.4-TC-7</t>
  </si>
  <si>
    <t>Create expert confirmation with quota exceeded</t>
  </si>
  <si>
    <t>{
  "message": "Bạn đã hết lượt yêu cầu chuyên gia xác nhận hôm nay! Nâng cấp lên VIP để sử dụng không giới hạn. Còn lại: 0",
  "actionType": "expert_confirm"
}</t>
  </si>
  <si>
    <t>UC-9.4-TC-8</t>
  </si>
  <si>
    <t>Create expert confirmation with no available experts</t>
  </si>
  <si>
    <t>{
  "userId": 1,
  "chatId": 1,
  "expertId": null,
  "userQuestion": "Test question?",
  "message": null
}</t>
  </si>
  <si>
    <t>{
  "message": "Hiện tại không có chuyên gia nào khả dụng."
}</t>
  </si>
  <si>
    <t>Update expert confirmation with valid data</t>
  </si>
  <si>
    <t>{
  "expertId": 2,
  "userId": 1,
  "chatId": 1,
  "status": "confirmed",
  "message": "Thông tin chính xác, bạn có thể yên tâm."
}</t>
  </si>
  <si>
    <t>{
  "userId": 1,
  "chatAiId": 1,
  "expertId": 2,
  "status": "confirmed",
  "message": "Thông tin chính xác, bạn có thể yên tâm.",
  "userQuestion": "Cách chăm sóc chó con?",
  "resultMessage": "Cập nhật yêu cầu confirm thành công",
  "createdAt": "2025-01-15T10:00:00",
  "updatedAt": "2025-04-18T22:10:00"
}</t>
  </si>
  <si>
    <t>Update expert confirmation with status only</t>
  </si>
  <si>
    <t>{
  "expertId": 2,
  "userId": 1,
  "chatId": 1,
  "status": "rejected",
  "message": null
}</t>
  </si>
  <si>
    <t>{
  "userId": 1,
  "chatAiId": 1,
  "expertId": 2,
  "status": "rejected",
  "message": null,
  "userQuestion": "Cách chăm sóc chó con?",
  "resultMessage": "Cập nhật yêu cầu confirm thành công",
  "createdAt": "2025-01-15T10:00:00",
  "updatedAt": "2025-04-18T22:10:00"
}</t>
  </si>
  <si>
    <t>Update expert confirmation with message only</t>
  </si>
  <si>
    <t>{
  "expertId": 2,
  "userId": 1,
  "chatId": 1,
  "status": null,
  "message": "Cần kiểm tra thêm"
}</t>
  </si>
  <si>
    <t>{
  "userId": 1,
  "chatAiId": 1,
  "expertId": 2,
  "status": "pending",
  "message": "Cần kiểm tra thêm",
  "userQuestion": "Cách chăm sóc chó con?",
  "resultMessage": "Cập nhật yêu cầu confirm thành công",
  "createdAt": "2025-01-15T10:00:00",
  "updatedAt": "2025-04-18T22:10:00"
}</t>
  </si>
  <si>
    <t>UC-9.5-TC-4</t>
  </si>
  <si>
    <t>Update expert confirmation with non-existent confirmation</t>
  </si>
  <si>
    <t>{
  "expertId": 9999,
  "userId": 9999,
  "chatId": 9999,
  "status": "confirmed",
  "message": "Test message"
}</t>
  </si>
  <si>
    <t>Get user expert chats with existing chats</t>
  </si>
  <si>
    <t>{
  "success": true,
  "data": [
    {
      "id": "1",
      "chatExpertId": 1,
      "expertId": 2,
      "expertName": "Dr. Nguyễn Văn A",
      "specialty": "Chuyên gia thú y",
      "lastMessage": "Xin chào, tôi có thể giúp gì cho bạn?",
      "time": "2025-01-15T10:30:00",
      "unread": 0,
      "isOnline": false
    }
  ]
}</t>
  </si>
  <si>
    <t>Get user expert chats with no chats</t>
  </si>
  <si>
    <t>Get user expert chats with non-existent user</t>
  </si>
  <si>
    <t>Get chats by user ID without petId filter</t>
  </si>
  <si>
    <t>[
  {
    "matchId": 1,
    "fromPetId": 1,
    "toPetId": 2,
    "fromPetName": "Buddy",
    "toPetName": "Max",
    "fromUserId": 1,
    "toUserId": 2,
    "status": "Accepted",
    "createdAt": "2025-01-15T10:00:00",
    "fromPet": {
      "petId": 1,
      "name": "Buddy",
      "breed": "Golden Retriever",
      "gender": "Male"
    },
    "toPet": {
      "petId": 2,
      "name": "Max",
      "breed": "Labrador",
      "gender": "Female"
    }
  }
]</t>
  </si>
  <si>
    <t>Get chats by user ID with petId filter</t>
  </si>
  <si>
    <t>{
  "userId": 1,
  "petId": 1
}</t>
  </si>
  <si>
    <t>Get chats by user ID with no chats</t>
  </si>
  <si>
    <t>UC-8.1-TC-4</t>
  </si>
  <si>
    <t>Get chats by user ID with petId not belonging to user</t>
  </si>
  <si>
    <t>{
  "userId": 1,
  "petId": 9999
}</t>
  </si>
  <si>
    <t>{
  "message": "Pet không thuộc người dùng này."
}</t>
  </si>
  <si>
    <t>Delete chat with valid matchId</t>
  </si>
  <si>
    <t>{
  "matchId": 1
}</t>
  </si>
  <si>
    <t>{
  "message": "Đã ẩn đoạn chat."
}</t>
  </si>
  <si>
    <t>Delete chat with non-existent matchId</t>
  </si>
  <si>
    <t>{
  "matchId": 9999
}</t>
  </si>
  <si>
    <t>{
  "message": "Không tìm thấy đoạn chat."
}</t>
  </si>
  <si>
    <t>Delete chat that is already deleted</t>
  </si>
  <si>
    <t>Get chat messages with existing messages</t>
  </si>
  <si>
    <t>[
  {
    "contentId": 1,
    "matchId": 1,
    "fromUserId": 1,
    "fromUserName": "Nguyễn Văn A",
    "message": "Xin chào, bạn có khỏe không?",
    "createdAt": "2025-01-15T10:00:00"
  },
  {
    "contentId": 2,
    "matchId": 1,
    "fromUserId": 2,
    "fromUserName": "Trần Thị B",
    "message": "Chào bạn, tôi khỏe cảm ơn!",
    "createdAt": "2025-01-15T10:05:00"
  }
]</t>
  </si>
  <si>
    <t>Get chat messages with no messages</t>
  </si>
  <si>
    <t>{
  "matchId": 2
}</t>
  </si>
  <si>
    <t>Get chat messages with non-existent matchId</t>
  </si>
  <si>
    <t>Send message with valid data</t>
  </si>
  <si>
    <t>{
  "matchId": 1,
  "fromUserId": 1,
  "message": "Xin chào, bạn có khỏe không?"
}</t>
  </si>
  <si>
    <t>{
  "message": "Gửi tin nhắn thành công.",
  "contentId": 10,
  "createdAt": "2025-04-18T21:30:00"
}</t>
  </si>
  <si>
    <t>Send message with empty message</t>
  </si>
  <si>
    <t>{
  "matchId": 1,
  "fromUserId": 1,
  "message": ""
}</t>
  </si>
  <si>
    <t>{
  "message": "Tin nhắn không được để trống."
}</t>
  </si>
  <si>
    <t>Send message with whitespace only</t>
  </si>
  <si>
    <t>{
  "matchId": 1,
  "fromUserId": 1,
  "message": "   "
}</t>
  </si>
  <si>
    <t>UC-8.4-TC-4</t>
  </si>
  <si>
    <t>Send message with non-existent matchId</t>
  </si>
  <si>
    <t>{
  "matchId": 9999,
  "fromUserId": 1,
  "message": "Test message"
}</t>
  </si>
  <si>
    <t>{
  "message": "Không tồn tại đoạn chat."
}</t>
  </si>
  <si>
    <t>UC-8.4-TC-5</t>
  </si>
  <si>
    <t>Send message with matchId not accepted</t>
  </si>
  <si>
    <t>{
  "matchId": 1,
  "fromUserId": 1,
  "message": "Test message"
}</t>
  </si>
  <si>
    <t>UC-8.4-TC-6</t>
  </si>
  <si>
    <t>Send message with fromUserId not in chat</t>
  </si>
  <si>
    <t>{
  "matchId": 1,
  "fromUserId": 9999,
  "message": "Test message"
}</t>
  </si>
  <si>
    <t>{
  "message": "Người dùng không thuộc cuộc chat này."
}</t>
  </si>
  <si>
    <t>Get chats by user ID with existing chats</t>
  </si>
  <si>
    <t>[
  {
    "id": "1",
    "chatExpertId": 1,
    "expertId": 2,
    "expertName": "Dr. Nguyễn Văn A",
    "specialty": "Chuyên gia thú y",
    "lastMessage": "Xin chào, tôi có thể giúp gì cho bạn?",
    "time": "2025-01-15T10:30:00",
    "unread": 0,
    "isOnline": false,
    "createdAt": "2025-01-15T10:00:00",
    "updatedAt": "2025-01-15T10:30:00"
  }
]</t>
  </si>
  <si>
    <t>Get chats by non-existent user ID</t>
  </si>
  <si>
    <t>{
  "message": "Không tìm thấy người dùng."
}</t>
  </si>
  <si>
    <t>Get chats by expert ID with existing chats</t>
  </si>
  <si>
    <t>{
  "expertId": 2
}</t>
  </si>
  <si>
    <t>[
  {
    "chatExpertId": 1,
    "expertId": 2,
    "expertName": "Dr. Nguyễn Văn A",
    "expertEmail": "expert@example.com",
    "userId": 1,
    "userName": "Nguyễn Văn B",
    "userEmail": "user@example.com",
    "createdAt": "2025-01-15T10:00:00",
    "updatedAt": "2025-01-15T10:30:00"
  }
]</t>
  </si>
  <si>
    <t>Get chats by expert ID with no chats</t>
  </si>
  <si>
    <t>Get chats by non-existent expert ID</t>
  </si>
  <si>
    <t>{
  "expertId": 9999
}</t>
  </si>
  <si>
    <t>{
  "message": "Không tìm thấy chuyên gia."
}</t>
  </si>
  <si>
    <t>Create expert chat with valid users</t>
  </si>
  <si>
    <t>{
  "expertId": 2,
  "userId": 1
}</t>
  </si>
  <si>
    <t>{
  "chatExpertId": 10,
  "expertId": 2,
  "userId": 1,
  "createdAt": "2025-04-18T21:00:00"
}</t>
  </si>
  <si>
    <t>Create expert chat with same user and expert</t>
  </si>
  <si>
    <t>{
  "expertId": 1,
  "userId": 1
}</t>
  </si>
  <si>
    <t>{
  "message": "Không thể tạo chat với chính mình."
}</t>
  </si>
  <si>
    <t>Create expert chat with non-existent expert</t>
  </si>
  <si>
    <t>{
  "expertId": 9999,
  "userId": 1
}</t>
  </si>
  <si>
    <t>UC-7.3-TC-4</t>
  </si>
  <si>
    <t>Create expert chat with non-existent user</t>
  </si>
  <si>
    <t>{
  "expertId": 2,
  "userId": 9999
}</t>
  </si>
  <si>
    <t>UC-7.3-TC-5</t>
  </si>
  <si>
    <t>Create expert chat that already exists</t>
  </si>
  <si>
    <t>{
  "chatExpertId": 1,
  "expertId": 2,
  "userId": 1,
  "createdAt": "2025-01-15T10:00:00"
}</t>
  </si>
  <si>
    <t>Get expert chat messages with existing messages</t>
  </si>
  <si>
    <t>{
  "chatExpertId": 1
}</t>
  </si>
  <si>
    <t>[
  {
    "contentId": 1,
    "chatExpertId": 1,
    "fromId": 1,
    "fromName": "Nguyễn Văn B",
    "fromEmail": "user@example.com",
    "message": "Xin chào, tôi cần tư vấn về chó con",
    "expertId": null,
    "userId": null,
    "chatAiid": null,
    "expertConfirmation": null,
    "createdAt": "2025-01-15T10:00:00",
    "updatedAt": "2025-01-15T10:00:00"
  },
  {
    "contentId": 2,
    "chatExpertId": 1,
    "fromId": 2,
    "fromName": "Dr. Nguyễn Văn A",
    "fromEmail": "expert@example.com",
    "message": "Xin chào, tôi có thể giúp gì cho bạn?",
    "expertId": null,
    "userId": null,
    "chatAiid": null,
    "expertConfirmation": null,
    "createdAt": "2025-01-15T10:05:00",
    "updatedAt": "2025-01-15T10:05:00"
  }
]</t>
  </si>
  <si>
    <t>Get expert chat messages with no messages</t>
  </si>
  <si>
    <t>{
  "chatExpertId": 2
}</t>
  </si>
  <si>
    <t>Get expert chat messages with non-existent chat</t>
  </si>
  <si>
    <t>{
  "chatExpertId": 9999
}</t>
  </si>
  <si>
    <t>Send expert message with valid data</t>
  </si>
  <si>
    <t>{
  "chatExpertId": 1,
  "fromId": 1,
  "message": "Xin chào, tôi cần tư vấn",
  "expertId": null,
  "userId": null,
  "chatAiid": null
}</t>
  </si>
  <si>
    <t>{
  "message": "Gửi tin nhắn thành công.",
  "contentId": 10,
  "chatExpertId": 1,
  "fromId": 1,
  "createdAt": "2025-04-18T21:15:00"
}</t>
  </si>
  <si>
    <t>Send expert message with empty message</t>
  </si>
  <si>
    <t>{
  "chatExpertId": 1,
  "fromId": 1,
  "message": "",
  "expertId": null,
  "userId": null,
  "chatAiid": null
}</t>
  </si>
  <si>
    <t>Send expert message with whitespace only</t>
  </si>
  <si>
    <t>{
  "chatExpertId": 1,
  "fromId": 1,
  "message": "   ",
  "expertId": null,
  "userId": null,
  "chatAiid": null
}</t>
  </si>
  <si>
    <t>UC-7.5-TC-4</t>
  </si>
  <si>
    <t>Send expert message with non-existent chat</t>
  </si>
  <si>
    <t>{
  "chatExpertId": 9999,
  "fromId": 1,
  "message": "Test message",
  "expertId": null,
  "userId": null,
  "chatAiid": null
}</t>
  </si>
  <si>
    <t>UC-7.5-TC-5</t>
  </si>
  <si>
    <t>Send expert message with fromId not in chat</t>
  </si>
  <si>
    <t>{
  "chatExpertId": 1,
  "fromId": 9999,
  "message": "Test message",
  "expertId": null,
  "userId": null,
  "chatAiid": null
}</t>
  </si>
  <si>
    <t>UC-7.5-TC-6</t>
  </si>
  <si>
    <t>Send expert message with expert confirmation</t>
  </si>
  <si>
    <t>{
  "chatExpertId": 1,
  "fromId": 2,
  "message": "Tôi đã xác nhận",
  "expertId": 2,
  "userId": 1,
  "chatAiid": 1
}</t>
  </si>
  <si>
    <t>{
  "message": "Gửi tin nhắn thành công.",
  "contentId": 11,
  "chatExpertId": 1,
  "fromId": 2,
  "createdAt": "2025-04-18T21:20:00"
}</t>
  </si>
  <si>
    <t>UC-7.5-TC-7</t>
  </si>
  <si>
    <t>Send expert message with non-existent expert confirmation</t>
  </si>
  <si>
    <t>{
  "chatExpertId": 1,
  "fromId": 2,
  "message": "Test message",
  "expertId": 9999,
  "userId": 9999,
  "chatAiid": 9999
}</t>
  </si>
  <si>
    <t>{
  "message": "Không tìm thấy xác nhận chuyên gia."
}</t>
  </si>
  <si>
    <t>Get token usage for free user</t>
  </si>
  <si>
    <t>{
  "success": true,
  "data": {
    "isVip": false,
    "dailyQuota": 10000,
    "tokensUsed": 2500,
    "tokensRemaining": 7500
  }
}</t>
  </si>
  <si>
    <t>Get token usage for VIP user</t>
  </si>
  <si>
    <t>{
  "success": true,
  "data": {
    "isVip": true,
    "dailyQuota": 50000,
    "tokensUsed": 15000,
    "tokensRemaining": 35000
  }
}</t>
  </si>
  <si>
    <t>Get token usage without authentication</t>
  </si>
  <si>
    <t>{
  "success": false,
  "message": "Vui lòng đăng nhập"
}</t>
  </si>
  <si>
    <t>Get all chats with existing chats</t>
  </si>
  <si>
    <t>{
  "success": true,
  "data": [
    {
      "chatAiid": 1,
      "title": "Chat về chó",
      "createdAt": "2025-01-15T10:00:00",
      "updatedAt": "2025-01-15T15:30:00",
      "messageCount": 5,
      "lastQuestion": "Cách chăm sóc chó con?"
    },
    {
      "chatAiid": 2,
      "title": "Chat về mèo",
      "createdAt": "2025-01-16T09:00:00",
      "updatedAt": "2025-01-16T11:20:00",
      "messageCount": 3,
      "lastQuestion": "Mèo ăn gì tốt?"
    }
  ]
}</t>
  </si>
  <si>
    <t>Get all chats with no chats</t>
  </si>
  <si>
    <t>Get all chats with different user ID</t>
  </si>
  <si>
    <t>{
  "success": false,
  "message": "Forbidden"
}</t>
  </si>
  <si>
    <t>Get all chats without authentication</t>
  </si>
  <si>
    <t>Create chat with title</t>
  </si>
  <si>
    <t>{
  "userId": 1,
  "title": "Chat mới về thú cưng"
}</t>
  </si>
  <si>
    <t>{
  "success": true,
  "data": {
    "chatId": 10,
    "title": "Chat mới về thú cưng",
    "createdAt": "2025-04-18T20:30:00"
  },
  "message": "Tạo cuộc trò chuyện thành công"
}</t>
  </si>
  <si>
    <t>Create chat without title</t>
  </si>
  <si>
    <t>{
  "userId": 1,
  "title": null
}</t>
  </si>
  <si>
    <t>{
  "success": true,
  "data": {
    "chatId": 11,
    "title": "New Chat",
    "createdAt": "2025-04-18T20:30:00"
  },
  "message": "Tạo cuộc trò chuyện thành công"
}</t>
  </si>
  <si>
    <t>Create chat with different user ID</t>
  </si>
  <si>
    <t>{
  "userId": 9999,
  "title": "Test Chat"
}</t>
  </si>
  <si>
    <t>UC-6.3-TC-4</t>
  </si>
  <si>
    <t>Create chat without authentication</t>
  </si>
  <si>
    <t>{
  "userId": 1,
  "title": "Test Chat"
}</t>
  </si>
  <si>
    <t>Update chat title with valid data</t>
  </si>
  <si>
    <t>{
  "chatAiId": 1,
  "title": "Tiêu đề mới"
}</t>
  </si>
  <si>
    <t>{
  "success": true,
  "message": "Cập nhật tiêu đề thành công"
}</t>
  </si>
  <si>
    <t>Update chat title with empty title</t>
  </si>
  <si>
    <t>{
  "chatAiId": 1,
  "title": ""
}</t>
  </si>
  <si>
    <t>{
  "success": false,
  "message": "Tiêu đề không được để trống"
}</t>
  </si>
  <si>
    <t>Update chat title with non-existent chat</t>
  </si>
  <si>
    <t>{
  "chatAiId": 9999,
  "title": "New Title"
}</t>
  </si>
  <si>
    <t>{
  "success": false,
  "message": "Không tìm thấy cuộc trò chuyện"
}</t>
  </si>
  <si>
    <t>UC-6.4-TC-4</t>
  </si>
  <si>
    <t>Update chat title without authentication</t>
  </si>
  <si>
    <t>{
  "chatAiId": 1,
  "title": "New Title"
}</t>
  </si>
  <si>
    <t>Delete chat with valid ID</t>
  </si>
  <si>
    <t>{
  "chatAiId": 1
}</t>
  </si>
  <si>
    <t>{
  "success": true,
  "message": "Xóa cuộc trò chuyện thành công"
}</t>
  </si>
  <si>
    <t>Delete chat with non-existent ID</t>
  </si>
  <si>
    <t>{
  "chatAiId": 9999
}</t>
  </si>
  <si>
    <t>Delete chat without authentication</t>
  </si>
  <si>
    <t>{
  "success": false,
  "message": "Unauthorized"
}</t>
  </si>
  <si>
    <t>Get chat history with valid chat ID</t>
  </si>
  <si>
    <t>{
  "success": true,
  "data": {
    "chatTitle": "Chat về chó",
    "messages": [
      {
        "contentId": 1,
        "question": "Cách chăm sóc chó con?",
        "answer": "Chó con cần được chăm sóc đặc biệt...",
        "createdAt": "2025-01-15T10:00:00"
      },
      {
        "contentId": 2,
        "question": "Chó con ăn gì?",
        "answer": "Chó con nên ăn thức ăn chuyên dụng...",
        "createdAt": "2025-01-15T10:15:00"
      }
    ]
  }
}</t>
  </si>
  <si>
    <t>Get chat history with no messages</t>
  </si>
  <si>
    <t>{
  "chatAiId": 2
}</t>
  </si>
  <si>
    <t>{
  "success": true,
  "data": {
    "chatTitle": "Chat mới",
    "messages": []
  }
}</t>
  </si>
  <si>
    <t>Get chat history with non-existent chat ID</t>
  </si>
  <si>
    <t>Get chat history without authentication</t>
  </si>
  <si>
    <t>Send AI message with valid question</t>
  </si>
  <si>
    <t>{
  "chatAiId": 1,
  "question": "Cách chăm sóc chó con?"
}</t>
  </si>
  <si>
    <t>{
  "success": true,
  "data": {
    "question": "Cách chăm sóc chó con?",
    "answer": "Chó con cần được chăm sóc đặc biệt với chế độ ăn uống phù hợp...",
    "timestamp": "2025-04-18T21:00:00",
    "usage": {
      "isVip": false,
      "dailyQuota": 10000,
      "tokensUsed": 3500,
      "tokensRemaining": 6500,
      "exceededQuota": false
    },
    "tokenDetails": {
      "inputTokens": 50,
      "outputTokens": 200,
      "totalTokens": 250
    }
  }
}</t>
  </si>
  <si>
    <t>Send AI message with empty question</t>
  </si>
  <si>
    <t>{
  "chatAiId": 1,
  "question": ""
}</t>
  </si>
  <si>
    <t>{
  "success": false,
  "message": "Câu hỏi không được để trống"
}</t>
  </si>
  <si>
    <t>Send AI message with whitespace only</t>
  </si>
  <si>
    <t>{
  "chatAiId": 1,
  "question": "   "
}</t>
  </si>
  <si>
    <t>Send AI message with quota exceeded for free user</t>
  </si>
  <si>
    <t>{
  "chatAiId": 1,
  "question": "Câu hỏi dài về chăm sóc thú cưng?"
}</t>
  </si>
  <si>
    <t>{
  "success": false,
  "message": "Bạn đã dùng lượt chat miễn phí hôm nay!
Nâng cấp VIP - 99,000đ/tháng:
- 25x nhiều hơn
- Trả lời nhanh hơn
- Hỗ trợ ưu tiên",
  "actionType": "ai_chat_question",
  "usage": {
    "isVip": false,
    "dailyQuota": 10000,
    "tokensUsed": 10000,
    "tokensRemaining": 0
  }
}</t>
  </si>
  <si>
    <t>UC-6.7-TC-5</t>
  </si>
  <si>
    <t>Send AI message with quota exceeded for VIP user</t>
  </si>
  <si>
    <t>{
  "success": false,
  "message": "VIP: Bạn đã dùng hết lượt chat ngày hôm nay!
Vui lòng chờ reset vào 00:00 ngày mai.",
  "actionType": "ai_chat_question",
  "usage": {
    "isVip": true,
    "dailyQuota": 50000,
    "tokensUsed": 50000,
    "tokensRemaining": 0
  }
}</t>
  </si>
  <si>
    <t>UC-6.7-TC-6</t>
  </si>
  <si>
    <t>Send AI message with non-existent chat ID</t>
  </si>
  <si>
    <t>{
  "chatAiId": 9999,
  "question": "Test question?"
}</t>
  </si>
  <si>
    <t>UC-6.7-TC-7</t>
  </si>
  <si>
    <t>Send AI message without authentication</t>
  </si>
  <si>
    <t>{
  "chatAiId": 1,
  "question": "Test question?"
}</t>
  </si>
  <si>
    <t>Get blocked users with existing blocks</t>
  </si>
  <si>
    <t>{
  "fromUserId": 1
}</t>
  </si>
  <si>
    <t>[
  {
    "toUserId": 2,
    "toUserFullName": "Blocked User 1",
    "toUserEmail": "blocked1@example.com",
    "createdAt": "2025-01-15T10:30:00"
  },
  {
    "toUserId": 3,
    "toUserFullName": "Blocked User 2",
    "toUserEmail": "blocked2@example.com",
    "createdAt": "2025-01-16T14:20:00"
  }
]</t>
  </si>
  <si>
    <t>Get blocked users with no blocks</t>
  </si>
  <si>
    <t>{
  "message": "Người dùng này chưa chặn ai."
}</t>
  </si>
  <si>
    <t>Get blocked users with non-existent user</t>
  </si>
  <si>
    <t>{
  "fromUserId": 9999
}</t>
  </si>
  <si>
    <t>Create block with valid users</t>
  </si>
  <si>
    <t>{
  "fromUserId": 1,
  "toUserId": 2
}</t>
  </si>
  <si>
    <t>{
  "fromUserId": 1,
  "toUserId": 2,
  "createdAt": "2025-04-18T20:00:00",
  "message": "Chặn người dùng thành công."
}</t>
  </si>
  <si>
    <t>Create block with same user</t>
  </si>
  <si>
    <t>{
  "fromUserId": 1,
  "toUserId": 1
}</t>
  </si>
  <si>
    <t>{
  "message": "Người dùng không thể tự chặn chính mình."
}</t>
  </si>
  <si>
    <t>Create block with non-existent from user</t>
  </si>
  <si>
    <t>{
  "fromUserId": 9999,
  "toUserId": 2
}</t>
  </si>
  <si>
    <t>UC-5.2-TC-4</t>
  </si>
  <si>
    <t>Create block with non-existent to user</t>
  </si>
  <si>
    <t>{
  "fromUserId": 1,
  "toUserId": 9999
}</t>
  </si>
  <si>
    <t>UC-5.2-TC-5</t>
  </si>
  <si>
    <t>Create block with already blocked user</t>
  </si>
  <si>
    <t>{
  "message": "Người dùng này đã bị chặn trước đó."
}</t>
  </si>
  <si>
    <t>Delete block with valid users</t>
  </si>
  <si>
    <t>{
  "fromUserId": 1,
  "toUserId": 2,
  "message": "Hủy chặn người dùng thành công."
}</t>
  </si>
  <si>
    <t>Delete block with non-existent block</t>
  </si>
  <si>
    <t>{
  "message": "Chưa chặn người dùng này hoặc đã hủy chặn."
}</t>
  </si>
  <si>
    <t>Delete block that was already deleted</t>
  </si>
  <si>
    <t>UC-4.1-TC-1</t>
  </si>
  <si>
    <t>Login with valid credentials for user platform</t>
  </si>
  <si>
    <t>{
  "email": "user@example.com",
  "password": "Test@123",
  "platform": "user"
}</t>
  </si>
  <si>
    <t>{
  "message": "Đăng nhập thành công",
  "accessToken": "eyJhbGciOiJIUzI1NiIsInR5cCI6IkpXVCJ9...",
  "refreshToken": "eyJhbGciOiJIUzI1NiIsInR5cCI6IkpXVCJ9...",
  "userId": 1,
  "fullName": "Test User",
  "email": "user@example.com",
  "isProfileComplete": true
}</t>
  </si>
  <si>
    <t>UC-4.1-TC-2</t>
  </si>
  <si>
    <t>Login with valid credentials for admin platform</t>
  </si>
  <si>
    <t>{
  "email": "admin@example.com",
  "password": "Admin@123",
  "platform": "admin"
}</t>
  </si>
  <si>
    <t>{
  "message": "Đăng nhập thành công",
  "accessToken": "eyJhbGciOiJIUzI1NiIsInR5cCI6IkpXVCJ9...",
  "refreshToken": "eyJhbGciOiJIUzI1NiIsInR5cCI6IkpXVCJ9...",
  "userId": 2,
  "fullName": "Admin User",
  "email": "admin@example.com",
  "isProfileComplete": true
}</t>
  </si>
  <si>
    <t>UC-4.1-TC-3</t>
  </si>
  <si>
    <t>Login with invalid email</t>
  </si>
  <si>
    <t>{
  "email": "nonexistent@example.com",
  "password": "Test@123",
  "platform": "user"
}</t>
  </si>
  <si>
    <t>"Tài khoản không tồn tại"</t>
  </si>
  <si>
    <t>UC-4.1-TC-4</t>
  </si>
  <si>
    <t>Login with wrong password</t>
  </si>
  <si>
    <t>{
  "email": "user@example.com",
  "password": "WrongPassword123",
  "platform": "user"
}</t>
  </si>
  <si>
    <t>"Sai mật khẩu"</t>
  </si>
  <si>
    <t>UC-4.1-TC-5</t>
  </si>
  <si>
    <t>Login with user account on admin platform</t>
  </si>
  <si>
    <t>{
  "email": "user@example.com",
  "password": "Test@123",
  "platform": "admin"
}</t>
  </si>
  <si>
    <t>"Chỉ tài khoản Admin hoặc Expert mới có thể đăng nhập vào hệ thống quản trị"</t>
  </si>
  <si>
    <t>UC-4.1-TC-6</t>
  </si>
  <si>
    <t>Login with admin account on user platform</t>
  </si>
  <si>
    <t>{
  "email": "admin@example.com",
  "password": "Admin@123",
  "platform": "user"
}</t>
  </si>
  <si>
    <t>"Chỉ tài khoản User mới có thể đăng nhập vào ứng dụng này"</t>
  </si>
  <si>
    <t>UC-4.1-TC-7</t>
  </si>
  <si>
    <t>Login with empty email</t>
  </si>
  <si>
    <t>{
  "email": "",
  "password": "Test@123",
  "platform": "user"
}</t>
  </si>
  <si>
    <t>{
  "message": "Email không được để trống"
}</t>
  </si>
  <si>
    <t>UC-4.1-TC-8</t>
  </si>
  <si>
    <t>Login with invalid email format</t>
  </si>
  <si>
    <t>{
  "email": "invalid-email",
  "password": "Test@123",
  "platform": "user"
}</t>
  </si>
  <si>
    <t>{
  "message": "Email không hợp lệ"
}</t>
  </si>
  <si>
    <t>UC-4.1-TC-9</t>
  </si>
  <si>
    <t>Login with empty password</t>
  </si>
  <si>
    <t>{
  "email": "user@example.com",
  "password": "",
  "platform": "user"
}</t>
  </si>
  <si>
    <t>{
  "message": "Mật khẩu không được để trống"
}</t>
  </si>
  <si>
    <t>UC-4.1-TC-10</t>
  </si>
  <si>
    <t>Login with password too short</t>
  </si>
  <si>
    <t>{
  "email": "user@example.com",
  "password": "12345",
  "platform": "user"
}</t>
  </si>
  <si>
    <t>{
  "message": "Mật khẩu phải ít nhất 6 ký tự"
}</t>
  </si>
  <si>
    <t>UC-4.1-TC-11</t>
  </si>
  <si>
    <t>Login with banned account</t>
  </si>
  <si>
    <t>{
  "email": "banned@example.com",
  "password": "Test@123",
  "platform": "user"
}</t>
  </si>
  <si>
    <t>{
  "message": "Tài khoản đang bị khóa tạm thời. BanStart: 2025-01-01T00:00:00, BanEnd: 2025-12-31T23:59:59, Reason: Vi phạm quy định"
}</t>
  </si>
  <si>
    <t>UC-4.2-TC-1</t>
  </si>
  <si>
    <t>Refresh token with valid refresh token</t>
  </si>
  <si>
    <t>{
  "refreshToken": "eyJhbGciOiJIUzI1NiIsInR5cCI6IkpXVCJ9.eyJ1c2VySWQiOjEsInJvbGUiOiJVc2VyIiwibmJmIjoxNzE2MTE2MDAwLCJleHAiOjE3MTg3MDgwMDB9..."
}</t>
  </si>
  <si>
    <t>{
  "message": "Làm mới token thành công",
  "accessToken": "eyJhbGciOiJIUzI1NiIsInR5cCI6IkpXVCJ9...",
  "refreshToken": "eyJhbGciOiJIUzI1NiIsInR5cCI6IkpXVCJ9..."
}</t>
  </si>
  <si>
    <t>UC-4.2-TC-2</t>
  </si>
  <si>
    <t>Refresh token with empty refresh token</t>
  </si>
  <si>
    <t>{
  "refreshToken": ""
}</t>
  </si>
  <si>
    <t>"Refresh Token không được để trống"</t>
  </si>
  <si>
    <t>UC-4.2-TC-3</t>
  </si>
  <si>
    <t>Refresh token with invalid token</t>
  </si>
  <si>
    <t>{
  "refreshToken": "invalid.token.here"
}</t>
  </si>
  <si>
    <t>"Refresh Token không hợp lệ hoặc đã hết hạn"</t>
  </si>
  <si>
    <t>UC-4.2-TC-4</t>
  </si>
  <si>
    <t>Refresh token with expired token</t>
  </si>
  <si>
    <t>{
  "refreshToken": "eyJhbGciOiJIUzI1NiIsInR5cCI6IkpXVCJ9.eyJ1c2VySWQiOjEsImV4cCI6MTYwOTQ0NDQ0NH0.expired"
}</t>
  </si>
  <si>
    <t>UC-4.2-TC-5</t>
  </si>
  <si>
    <t>Refresh token with revoked token</t>
  </si>
  <si>
    <t>{
  "refreshToken": "eyJhbGciOiJIUzI1NiIsInR5cCI6IkpXVCJ9.eyJ1c2VySWQiOjEsInJvbGUiOiJVc2VyIn0.revoked"
}</t>
  </si>
  <si>
    <t>"Refresh Token không hợp lệ hoặc đã bị thu hồi"</t>
  </si>
  <si>
    <t>UC-4.3-TC-1</t>
  </si>
  <si>
    <t>Logout with valid authentication</t>
  </si>
  <si>
    <t>{
  "authorization": "Bearer eyJhbGciOiJIUzI1NiIsInR5cCI6IkpXVCJ9..."
}</t>
  </si>
  <si>
    <t>"Đăng xuất thành công."</t>
  </si>
  <si>
    <t>UC-4.3-TC-2</t>
  </si>
  <si>
    <t>Logout without authentication</t>
  </si>
  <si>
    <t>"Unauthorized"</t>
  </si>
  <si>
    <t>UC-4.3-TC-3</t>
  </si>
  <si>
    <t>Logout with invalid token</t>
  </si>
  <si>
    <t>{
  "authorization": "Bearer invalid.token.here"
}</t>
  </si>
  <si>
    <t>UC-4.3-TC-4</t>
  </si>
  <si>
    <t>Logout with non-existent user</t>
  </si>
  <si>
    <t>{
  "authorization": "Bearer eyJhbGciOiJIUzI1NiIsInR5cCI6IkpXVCJ9.eyJ1c2VySWQiOjk5OTksInJvbGUiOiJVc2VyIn0..."
}</t>
  </si>
  <si>
    <t>"Không tìm thấy người dùng."</t>
  </si>
  <si>
    <t>UC-4.4-TC-1</t>
  </si>
  <si>
    <t>Send OTP with valid email</t>
  </si>
  <si>
    <t>{
  "email": "test@example.com"
}</t>
  </si>
  <si>
    <t>{
  "message": "Đã gửi OTP tới email người dùng."
}</t>
  </si>
  <si>
    <t>UC-4.4-TC-2</t>
  </si>
  <si>
    <t>Send OTP with empty email</t>
  </si>
  <si>
    <t>{
  "email": ""
}</t>
  </si>
  <si>
    <t>{
  "message": "Email không được để trống."
}</t>
  </si>
  <si>
    <t>UC-4.4-TC-3</t>
  </si>
  <si>
    <t>Send OTP with invalid email format</t>
  </si>
  <si>
    <t>{
  "email": "invalid-email"
}</t>
  </si>
  <si>
    <t>{
  "message": "Địa chỉ email không hợp lệ."
}</t>
  </si>
  <si>
    <t>UC-4.4-TC-4</t>
  </si>
  <si>
    <t>Send OTP with non-existent domain</t>
  </si>
  <si>
    <t>{
  "email": "test@nonexistentdomain12345.com"
}</t>
  </si>
  <si>
    <t>{
  "message": "Tên miền email không tồn tại hoặc không hợp lệ."
}</t>
  </si>
  <si>
    <t>UC-4.4-TC-5</t>
  </si>
  <si>
    <t>Send OTP with undeliverable email</t>
  </si>
  <si>
    <t>{
  "email": "invalid@test.com"
}</t>
  </si>
  <si>
    <t>{
  "message": "Email không thể nhận thư (undeliverable): invalid"</t>
  </si>
  <si>
    <t>UC-4.4-TC-6</t>
  </si>
  <si>
    <t>Send OTP with SMTP error</t>
  </si>
  <si>
    <t>{
  "message": "Gửi email thất bại.",
  "error": "Lỗi SMTP khi gửi email: Connection timeout"
}</t>
  </si>
  <si>
    <t>UC-4.5-TC-1</t>
  </si>
  <si>
    <t>Check OTP with valid email and OTP</t>
  </si>
  <si>
    <t>{
  "email": "test@example.com",
  "otp": "123456"
}</t>
  </si>
  <si>
    <t>{
  "message": "Xác thực OTP thành công."
}</t>
  </si>
  <si>
    <t>UC-4.5-TC-2</t>
  </si>
  <si>
    <t>Check OTP with empty email</t>
  </si>
  <si>
    <t>{
  "email": "",
  "otp": "123456"
}</t>
  </si>
  <si>
    <t>{
  "message": "Thiếu email hoặc mã OTP."
}</t>
  </si>
  <si>
    <t>UC-4.5-TC-3</t>
  </si>
  <si>
    <t>Check OTP with empty OTP</t>
  </si>
  <si>
    <t>{
  "email": "test@example.com",
  "otp": ""
}</t>
  </si>
  <si>
    <t>UC-4.5-TC-4</t>
  </si>
  <si>
    <t>Check OTP with incorrect OTP</t>
  </si>
  <si>
    <t>{
  "email": "test@example.com",
  "otp": "999999"
}</t>
  </si>
  <si>
    <t>{
  "message": "Mã OTP không chính xác."
}</t>
  </si>
  <si>
    <t>UC-4.5-TC-5</t>
  </si>
  <si>
    <t>Check OTP that has expired</t>
  </si>
  <si>
    <t>{
  "message": "OTP đã hết hạn hoặc chưa được gửi."
}</t>
  </si>
  <si>
    <t>UC-4.5-TC-6</t>
  </si>
  <si>
    <t>Check OTP that was never sent</t>
  </si>
  <si>
    <t>{
  "email": "newuser@example.com",
  "otp": "123456"
}</t>
  </si>
  <si>
    <t>UC-3.1-TC-1</t>
  </si>
  <si>
    <t>Get options by valid attribute ID</t>
  </si>
  <si>
    <t>{
  "attributeId": 1
}</t>
  </si>
  <si>
    <t>[
  {
    "optionId": 1,
    "name": "Chó",
    "attributeId": 1
  },
  {
    "optionId": 2,
    "name": "Mèo",
    "attributeId": 1
  }
]</t>
  </si>
  <si>
    <t>UC-3.1-TC-2</t>
  </si>
  <si>
    <t>Get options by non-existent attribute ID</t>
  </si>
  <si>
    <t>{
  "attributeId": 9999
}</t>
  </si>
  <si>
    <t>{
  "message": "Không tìm thấy attribute tương ứng."
}</t>
  </si>
  <si>
    <t>UC-3.1-TC-3</t>
  </si>
  <si>
    <t>Get options by deleted attribute ID</t>
  </si>
  <si>
    <t>{
  "attributeId": 5
}</t>
  </si>
  <si>
    <t>UC-3.1-TC-4</t>
  </si>
  <si>
    <t>Get options by attribute with no options</t>
  </si>
  <si>
    <t>{
  "attributeId": 2
}</t>
  </si>
  <si>
    <t>UC-3.2-TC-1</t>
  </si>
  <si>
    <t>Create option with valid data</t>
  </si>
  <si>
    <t>{
  "attributeId": 1,
  "optionName": "Chó Poodle"
}</t>
  </si>
  <si>
    <t>{
  "message": "Tạo option thành công."
}</t>
  </si>
  <si>
    <t>UC-3.2-TC-2</t>
  </si>
  <si>
    <t>Create option with empty name</t>
  </si>
  <si>
    <t>{
  "attributeId": 1,
  "optionName": ""
}</t>
  </si>
  <si>
    <t>{
  "message": "Tên option không được để trống."
}</t>
  </si>
  <si>
    <t>UC-3.2-TC-3</t>
  </si>
  <si>
    <t>Create option with whitespace only</t>
  </si>
  <si>
    <t>{
  "attributeId": 1,
  "optionName": "   "
}</t>
  </si>
  <si>
    <t>UC-3.2-TC-4</t>
  </si>
  <si>
    <t>Create option for non-existent attribute</t>
  </si>
  <si>
    <t>{
  "attributeId": 9999,
  "optionName": "Test Option"
}</t>
  </si>
  <si>
    <t>UC-3.2-TC-5</t>
  </si>
  <si>
    <t>Create option for deleted attribute</t>
  </si>
  <si>
    <t>{
  "attributeId": 5,
  "optionName": "Test Option"
}</t>
  </si>
  <si>
    <t>UC-3.3-TC-1</t>
  </si>
  <si>
    <t>Update option with valid data</t>
  </si>
  <si>
    <t>{
  "optionId": 1,
  "optionName": "Chó Poodle cập nhật"
}</t>
  </si>
  <si>
    <t>{
  "message": "Cập nhật danh sách option thành công."
}</t>
  </si>
  <si>
    <t>UC-3.3-TC-2</t>
  </si>
  <si>
    <t>Update option with empty name</t>
  </si>
  <si>
    <t>{
  "optionId": 1,
  "optionName": ""
}</t>
  </si>
  <si>
    <t>{
  "message": "Option không được để trống."
}</t>
  </si>
  <si>
    <t>UC-3.3-TC-3</t>
  </si>
  <si>
    <t>Update option with whitespace only</t>
  </si>
  <si>
    <t>{
  "optionId": 1,
  "optionName": "   "
}</t>
  </si>
  <si>
    <t>UC-3.3-TC-4</t>
  </si>
  <si>
    <t>Update non-existent option</t>
  </si>
  <si>
    <t>{
  "optionId": 9999,
  "optionName": "Test Option"
}</t>
  </si>
  <si>
    <t>{
  "message": "Không tìm thấy option tương ứng."
}</t>
  </si>
  <si>
    <t>UC-3.3-TC-5</t>
  </si>
  <si>
    <t>Update deleted option</t>
  </si>
  <si>
    <t>{
  "optionId": 10,
  "optionName": "Test Option"
}</t>
  </si>
  <si>
    <t>UC-3.4-TC-1</t>
  </si>
  <si>
    <t>Delete option with valid ID</t>
  </si>
  <si>
    <t>{
  "optionId": 1
}</t>
  </si>
  <si>
    <t>{
  "message": "Xóa option thành công."
}</t>
  </si>
  <si>
    <t>UC-3.4-TC-2</t>
  </si>
  <si>
    <t>Delete non-existent option</t>
  </si>
  <si>
    <t>{
  "optionId": 9999
}</t>
  </si>
  <si>
    <t>{
  "message": "Không tìm thấy option."
}</t>
  </si>
  <si>
    <t>UC-3.4-TC-3</t>
  </si>
  <si>
    <t>Delete already deleted option</t>
  </si>
  <si>
    <t>{
  "optionId": 10
}</t>
  </si>
  <si>
    <t>UC-2.1-TC-1</t>
  </si>
  <si>
    <t>Get attributes with default pagination</t>
  </si>
  <si>
    <t>{
  "page": 1,
  "pageSize": 20,
  "includeDeleted": false
}</t>
  </si>
  <si>
    <t>{
  "message": "Lấy danh sách thuộc tính thành công.",
  "pagination": {
    "page": 1,
    "pageSize": 20,
    "total": 10
  },
  "data": [
    {
      "attributeId": 1,
      "name": "Giống",
      "typeValue": "string",
      "unit": null,
      "isDeleted": false,
      "createdAt": "2025-01-01T00:00:00",
      "updatedAt": "2025-01-01T00:00:00",
      "optionRespones": []
    }
  ]
}</t>
  </si>
  <si>
    <t>UC-2.1-TC-2</t>
  </si>
  <si>
    <t>Get attributes with search query</t>
  </si>
  <si>
    <t>{
  "search": "Giống",
  "page": 1,
  "pageSize": 20,
  "includeDeleted": false
}</t>
  </si>
  <si>
    <t>{
  "message": "Lấy danh sách thuộc tính thành công.",
  "pagination": {
    "page": 1,
    "pageSize": 20,
    "total": 1
  },
  "data": [
    {
      "attributeId": 1,
      "name": "Giống",
      "typeValue": "string",
      "unit": null,
      "isDeleted": false,
      "createdAt": "2025-01-01T00:00:00",
      "updatedAt": "2025-01-01T00:00:00",
      "optionRespones": []
    }
  ]
}</t>
  </si>
  <si>
    <t>UC-2.1-TC-3</t>
  </si>
  <si>
    <t>Get attributes with include deleted</t>
  </si>
  <si>
    <t>{
  "page": 1,
  "pageSize": 20,
  "includeDeleted": true
}</t>
  </si>
  <si>
    <t>{
  "message": "Lấy danh sách thuộc tính thành công.",
  "pagination": {
    "page": 1,
    "pageSize": 20,
    "total": 15
  },
  "data": []
}</t>
  </si>
  <si>
    <t>UC-2.1-TC-4</t>
  </si>
  <si>
    <t>Get attributes with invalid pagination</t>
  </si>
  <si>
    <t>{
  "page": 0,
  "pageSize": -1,
  "includeDeleted": false
}</t>
  </si>
  <si>
    <t>{
  "message": "Tham số phân trang không hợp lệ."
}</t>
  </si>
  <si>
    <t>UC-2.2-TC-1</t>
  </si>
  <si>
    <t>Create attribute with valid data</t>
  </si>
  <si>
    <t>{
  "name": "Màu sắc",
  "typeValue": "string",
  "unit": null,
  "isDeleted": false
}</t>
  </si>
  <si>
    <t>{
  "message": "Tạo thuộc tính thành công.",
  "data": {
    "attributeId": 11,
    "name": "Màu sắc",
    "typeValue": "string",
    "unit": null,
    "isDeleted": false,
    "createdAt": "2025-04-18T19:00:00",
    "updatedAt": "2025-04-18T19:00:00",
    "optionRespones": []
  }
}</t>
  </si>
  <si>
    <t>UC-2.2-TC-2</t>
  </si>
  <si>
    <t>Create attribute with unit</t>
  </si>
  <si>
    <t>{
  "name": "Cân nặng",
  "typeValue": "number",
  "unit": "kg",
  "isDeleted": false
}</t>
  </si>
  <si>
    <t>{
  "message": "Tạo thuộc tính thành công.",
  "data": {
    "attributeId": 12,
    "name": "Cân nặng",
    "typeValue": "number",
    "unit": "kg",
    "isDeleted": false,
    "createdAt": "2025-04-18T19:00:00",
    "updatedAt": "2025-04-18T19:00:00",
    "optionRespones": []
  }
}</t>
  </si>
  <si>
    <t>UC-2.2-TC-3</t>
  </si>
  <si>
    <t>Create attribute with duplicate name</t>
  </si>
  <si>
    <t>{
  "name": "Giống",
  "typeValue": "string",
  "unit": null,
  "isDeleted": false
}</t>
  </si>
  <si>
    <t>{
  "message": "Tên thuộc tính đã tồn tại."
}</t>
  </si>
  <si>
    <t>UC-2.2-TC-4</t>
  </si>
  <si>
    <t>Create attribute with missing name</t>
  </si>
  <si>
    <t>{
  "typeValue": "string",
  "unit": null,
  "isDeleted": false
}</t>
  </si>
  <si>
    <t>{
  "message": "Tên thuộc tính là bắt buộc."
}</t>
  </si>
  <si>
    <t>UC-2.2-TC-5</t>
  </si>
  <si>
    <t>Create attribute with name too long</t>
  </si>
  <si>
    <t>{
  "name": "AAAAAAAAAAAAAAAAAAAAAAAAAAAAAAAAAAAAAAAAAAAAAAAAAAAAAAAAAAAAAAAAAAAAAAAAAAAAAAAAAAAAAAAAAAAAAAAAAAAAA",
  "typeValue": "string",
  "unit": null,
  "isDeleted": false
}</t>
  </si>
  <si>
    <t>{
  "message": "Tên thuộc tính tối đa 100 ký tự."
}</t>
  </si>
  <si>
    <t>UC-2.3-TC-1</t>
  </si>
  <si>
    <t>Get attribute by valid ID</t>
  </si>
  <si>
    <t>{
  "id": 1
}</t>
  </si>
  <si>
    <t>{
  "message": "Lấy thông tin thuộc tính thành công.",
  "data": {
    "attributeId": 1,
    "name": "Giống",
    "typeValue": "string",
    "unit": null,
    "isDeleted": false,
    "createdAt": "2025-01-01T00:00:00",
    "updatedAt": "2025-01-01T00:00:00",
    "optionRespones": []
  }
}</t>
  </si>
  <si>
    <t>UC-2.3-TC-2</t>
  </si>
  <si>
    <t>Get attribute by non-existent ID</t>
  </si>
  <si>
    <t>{
  "id": 9999
}</t>
  </si>
  <si>
    <t>{
  "message": "Không tìm thấy thuộc tính."
}</t>
  </si>
  <si>
    <t>UC-2.3-TC-3</t>
  </si>
  <si>
    <t>Get attribute with invalid ID format</t>
  </si>
  <si>
    <t>{
  "id": "abc"
}</t>
  </si>
  <si>
    <t>{
  "message": "Invalid ID format"
}</t>
  </si>
  <si>
    <t>UC-2.4-TC-1</t>
  </si>
  <si>
    <t>Update attribute with valid data</t>
  </si>
  <si>
    <t>{
  "id": 1,
  "name": "Giống cập nhật",
  "typeValue": "string",
  "unit": null,
  "isDeleted": false
}</t>
  </si>
  <si>
    <t>{
  "message": "Cập nhật thuộc tính thành công."
}</t>
  </si>
  <si>
    <t>UC-2.4-TC-2</t>
  </si>
  <si>
    <t>Update attribute with new unit</t>
  </si>
  <si>
    <t>{
  "id": 2,
  "name": "Tuổi",
  "typeValue": "number",
  "unit": "năm",
  "isDeleted": false
}</t>
  </si>
  <si>
    <t>UC-2.4-TC-3</t>
  </si>
  <si>
    <t>Update attribute with duplicate name</t>
  </si>
  <si>
    <t>{
  "id": 1,
  "name": "Giống",
  "typeValue": "string",
  "unit": null,
  "isDeleted": false
}</t>
  </si>
  <si>
    <t>UC-2.4-TC-4</t>
  </si>
  <si>
    <t>Update non-existent attribute</t>
  </si>
  <si>
    <t>{
  "id": 9999,
  "name": "Test",
  "typeValue": "string",
  "unit": null,
  "isDeleted": false
}</t>
  </si>
  <si>
    <t>{
  "message": "Không tìm thấy thuộc tính để cập nhật."
}</t>
  </si>
  <si>
    <t>UC-2.4-TC-5</t>
  </si>
  <si>
    <t>Update attribute with missing name</t>
  </si>
  <si>
    <t>{
  "id": 1,
  "typeValue": "string",
  "unit": null,
  "isDeleted": false
}</t>
  </si>
  <si>
    <t>UC-2.5-TC-1</t>
  </si>
  <si>
    <t>Delete attribute with soft delete</t>
  </si>
  <si>
    <t>{
  "id": 1,
  "hard": false
}</t>
  </si>
  <si>
    <t>{
  "message": "Đã xoá mềm thuộc tính."
}</t>
  </si>
  <si>
    <t>UC-2.5-TC-2</t>
  </si>
  <si>
    <t>Delete attribute with hard delete</t>
  </si>
  <si>
    <t>{
  "id": 1,
  "hard": true
}</t>
  </si>
  <si>
    <t>{
  "message": "Đã xoá vĩnh viễn thuộc tính."
}</t>
  </si>
  <si>
    <t>UC-2.5-TC-3</t>
  </si>
  <si>
    <t>Delete non-existent attribute</t>
  </si>
  <si>
    <t>{
  "id": 9999,
  "hard": false
}</t>
  </si>
  <si>
    <t>{
  "message": "Không tìm thấy thuộc tính để xoá."
}</t>
  </si>
  <si>
    <t>UC-2.5-TC-4</t>
  </si>
  <si>
    <t>Delete already soft-deleted attribute</t>
  </si>
  <si>
    <t>{
  "message": "Thuộc tính đã ở trạng thái xoá mềm."
}</t>
  </si>
  <si>
    <t>UC-2.6-TC-1</t>
  </si>
  <si>
    <t>Get attributes for filter successfully</t>
  </si>
  <si>
    <t>{
  "message": "Lấy danh sách thuộc tính để filter thành công.",
  "data": [
    {
      "attributeId": 1,
      "name": "Giống",
      "typeValue": "string",
      "unit": null,
      "percent": 25.5,
      "isDeleted": false
    },
    {
      "attributeId": 2,
      "name": "Tuổi",
      "typeValue": "number",
      "unit": "năm",
      "percent": 20.0,
      "isDeleted": false
    }
  ],
  "suggestion": {
    "topAttributes": ["Giống", "Tuổi", "Màu sắc"],
    "totalPercent": 45.5,
    "message": "Chọn filter theo Giống, Tuổi để tìm match phù hợp hơn!"
  }
}</t>
  </si>
  <si>
    <t>UC-2.6-TC-2</t>
  </si>
  <si>
    <t>Get attributes for filter with no data</t>
  </si>
  <si>
    <t>{
  "message": "Lấy danh sách thuộc tính để filter thành công.",
  "data": [],
  "suggestion": {
    "topAttributes": [],
    "totalPercent": 0.0,
    "message": null
  }
}</t>
  </si>
  <si>
    <t>Update user by admin with valid userId and isDelete flag</t>
  </si>
  <si>
    <t>{
  "userId": 1,
  "isDelete": true
}</t>
  </si>
  <si>
    <t>{
  "status": 200,
  "message": "Cập nhật người dùng thành công."
}</t>
  </si>
  <si>
    <t>Update user by admin with valid userId and userStatusId</t>
  </si>
  <si>
    <t>{
  "userId": 1,
  "userStatusId": 1
}</t>
  </si>
  <si>
    <t>Update user by admin with both isDelete and userStatusId</t>
  </si>
  <si>
    <t>{
  "userId": 1,
  "isDelete": false,
  "userStatusId": 2
}</t>
  </si>
  <si>
    <t>Update user by admin with invalid userId (user not found)</t>
  </si>
  <si>
    <t>{
  "userId": 99999,
  "isDelete": true
}</t>
  </si>
  <si>
    <t>{
  "status": 404,
  "message": "Không tìm thấy user."
}</t>
  </si>
  <si>
    <t>UC-2.1-TC-5</t>
  </si>
  <si>
    <t>Update user by admin with negative userId</t>
  </si>
  <si>
    <t>{
  "userId": -1,
  "isDelete": true
}</t>
  </si>
  <si>
    <t>UC-2.1-TC-6</t>
  </si>
  <si>
    <t>Update user by admin with zero userId</t>
  </si>
  <si>
    <t>{
  "userId": 0,
  "userStatusId": 1
}</t>
  </si>
  <si>
    <t>UC-2.1-TC-7</t>
  </si>
  <si>
    <t>Update user by admin with empty request body</t>
  </si>
  <si>
    <t>{
  "userId": 1,
  "isDelete": null,
  "userStatusId": null,
  "RoleId": null
}</t>
  </si>
  <si>
    <t>UC-2.1-TC-8</t>
  </si>
  <si>
    <t>Update user by admin with only RoleId (should be ignored)</t>
  </si>
  <si>
    <t>{
  "userId": 1,
  "RoleId": 2
}</t>
  </si>
  <si>
    <t>Register user by admin with valid data (all fields)</t>
  </si>
  <si>
    <t>{
  "FullName": "Admin Test User",
  "Email": "admintest@example.com",
  "Password": "Admin@123",
  "Gender": "Male",
  "RoleId": 3,
  "UserStatusId": 2,
  "IsProfileComplete": false,
  "isDelete": false
}</t>
  </si>
  <si>
    <t>{
  "status": 201,
  "UserResponse": {
    "userId": 100,
    "roleId": 3,
    "userStatusId": 2,
    "fullName": "Admin Test User",
    "gender": "Male",
    "email": "admintest@example.com",
    "isProfileComplete": false,
    "isDeleted": false,
    "createdAt": "2025-04-18T20:00:00.000",
    "updatedAt": "2025-04-18T20:00:00.000"
  }
}</t>
  </si>
  <si>
    <t>Register user by admin with minimal required fields</t>
  </si>
  <si>
    <t>{
  "FullName": "Minimal User",
  "Email": "minimal@example.com",
  "Password": "Minimal@123"
}</t>
  </si>
  <si>
    <t>{
  "status": 201,
  "UserResponse": {
    "userId": 101,
    "userStatusId": 2,
    "fullName": "Minimal User",
    "email": "minimal@example.com",
    "isProfileComplete": false,
    "isDeleted": false,
    "createdAt": "2025-04-18T20:01:00.000",
    "updatedAt": "2025-04-18T20:01:00.000"
  }
}</t>
  </si>
  <si>
    <t>Register user by admin with existing email</t>
  </si>
  <si>
    <t>{
  "FullName": "Duplicate Email User",
  "Email": "existing@example.com",
  "Password": "Duplicate@123"
}</t>
  </si>
  <si>
    <t>{
  "status": 409,
  "message": "Email đã tồn tại"
}</t>
  </si>
  <si>
    <t>Register user by admin with missing Email</t>
  </si>
  <si>
    <t>{
  "FullName": "No Email User",
  "Password": "NoEmail@123"
}</t>
  </si>
  <si>
    <t>{
  "status": 400,
  "message": "Email is required"
}</t>
  </si>
  <si>
    <t>Register user by admin with missing Password</t>
  </si>
  <si>
    <t>{
  "FullName": "No Password User",
  "Email": "nopassword@example.com"
}</t>
  </si>
  <si>
    <t>{
  "status": 400,
  "message": "Password is required"
}</t>
  </si>
  <si>
    <t>UC-2.2-TC-6</t>
  </si>
  <si>
    <t>Register user by admin with missing FullName</t>
  </si>
  <si>
    <t>{
  "Email": "nofullname@example.com",
  "Password": "NoFullName@123"
}</t>
  </si>
  <si>
    <t>{
  "status": 400,
  "message": "FullName is required"
}</t>
  </si>
  <si>
    <t>UC-2.2-TC-7</t>
  </si>
  <si>
    <t>Register user by admin with invalid email format</t>
  </si>
  <si>
    <t>{
  "FullName": "Invalid Email User",
  "Email": "invalid-email-format",
  "Password": "Invalid@123"
}</t>
  </si>
  <si>
    <t>{
  "status": 400,
  "message": "Invalid email format"
}</t>
  </si>
  <si>
    <t>UC-2.2-TC-8</t>
  </si>
  <si>
    <t>Register user by admin with password too short (&lt; 6 characters)</t>
  </si>
  <si>
    <t>{
  "FullName": "Short Password User",
  "Email": "shortpass@example.com",
  "Password": "12345"
}</t>
  </si>
  <si>
    <t>{
  "status": 400,
  "message": "Password must be at least 6 characters"
}</t>
  </si>
  <si>
    <t>UC-2.2-TC-9</t>
  </si>
  <si>
    <t>Register user by admin without UserStatusId (should default to 2)</t>
  </si>
  <si>
    <t>{
  "FullName": "Default Status User",
  "Email": "defaultstatus@example.com",
  "Password": "Default@123",
  "RoleId": 3
}</t>
  </si>
  <si>
    <t>{
  "status": 201,
  "UserResponse": {
    "userId": 102,
    "userStatusId": 2,
    "fullName": "Default Status User",
    "email": "defaultstatus@example.com",
    "isProfileComplete": false,
    "isDeleted": false
  }
}</t>
  </si>
  <si>
    <t>UC-2.2-TC-10</t>
  </si>
  <si>
    <t>Register user by admin with RoleId = 2 (Expert) and IsProfileComplete = true</t>
  </si>
  <si>
    <t>{
  "FullName": "Expert User",
  "Email": "expert@example.com",
  "Password": "Expert@123",
  "RoleId": 2,
  "UserStatusId": 1,
  "IsProfileComplete": true,
  "Gender": "Female"
}</t>
  </si>
  <si>
    <t>{
  "status": 201,
  "UserResponse": {
    "userId": 103,
    "roleId": 2,
    "userStatusId": 1,
    "fullName": "Expert User",
    "gender": "Female",
    "email": "expert@example.com",
    "isProfileComplete": true,
    "isDeleted": false
  }
}</t>
  </si>
  <si>
    <t>UC-2.2-TC-11</t>
  </si>
  <si>
    <t>Register user by admin with FullName exceeding 100 characters</t>
  </si>
  <si>
    <t>{
  "FullName": "This is a very long full name that exceeds the maximum allowed length of one hundred characters for the FullName field in the user registration form",
  "Email": "longname@example.com",
  "Password": "LongName@123"
}</t>
  </si>
  <si>
    <t>{
  "status": 400,
  "message": "FullName must not exceed 100 characters"
}</t>
  </si>
  <si>
    <t>UC-2.2-TC-12</t>
  </si>
  <si>
    <t>Register user by admin with Email exceeding 150 characters</t>
  </si>
  <si>
    <t>{
  "FullName": "Long Email User",
  "Email": "thisisaverylongemailaddressthatexceedsthemaximumallowedlengthofonehundredfiftycharactersfortheemailfieldintheregistrationform@example.com",
  "Password": "LongEmail@123"
}</t>
  </si>
  <si>
    <t>{
  "status": 400,
  "message": "Email must not exceed 150 characters"
}</t>
  </si>
  <si>
    <t>UC-2.2-TC-13</t>
  </si>
  <si>
    <t>Register user by admin with Gender exceeding 10 characters</t>
  </si>
  <si>
    <t>{
  "FullName": "Long Gender User",
  "Email": "longgender@example.com",
  "Password": "LongGender@123",
  "Gender": "VeryLongGender"
}</t>
  </si>
  <si>
    <t>{
  "status": 400,
  "message": "Gender must not exceed 10 characters"
}</t>
  </si>
  <si>
    <t>UC-1.1-TC-1</t>
  </si>
  <si>
    <t>Create address for user with valid coordinates</t>
  </si>
  <si>
    <t>{
  "userId": 1,
  "latitude": 10.762622,
  "longitude": 106.660172
}</t>
  </si>
  <si>
    <t>{
  "User": {
    "userId": 1,
    "fullName": "Test User",
    "email": "test@example.com",
    "addressId": 1
  },
  "Address": {
    "addressId": 1,
    "latitude": 10.762622,
    "longitude": 106.660172,
    "fullAddress": "123 Đường ABC, Phường XYZ, Quận 1, Thành phố Hồ Chí Minh",
    "city": "Thành phố Hồ Chí Minh",
    "district": "Quận 1",
    "ward": "Phường XYZ"
  }
}</t>
  </si>
  <si>
    <t>UC-1.1-TC-2</t>
  </si>
  <si>
    <t>Create address with invalid userId (user not found)</t>
  </si>
  <si>
    <t>{
  "userId": 99999,
  "latitude": 10.762622,
  "longitude": 106.660172
}</t>
  </si>
  <si>
    <t>{
  "status": 404,
  "message": "Không tìm thấy người dùng"
}</t>
  </si>
  <si>
    <t>UC-1.1-TC-3</t>
  </si>
  <si>
    <t>Create address when user already has address</t>
  </si>
  <si>
    <t>{
  "userId": 2,
  "latitude": 10.762622,
  "longitude": 106.660172
}</t>
  </si>
  <si>
    <t>{
  "status": 400,
  "message": "User đã có địa chỉ, không thể tạo mới. Hãy dùng PUT để update."
}</t>
  </si>
  <si>
    <t>UC-1.1-TC-4</t>
  </si>
  <si>
    <t>Create address with invalid latitude (out of range &gt; 90)</t>
  </si>
  <si>
    <t>{
  "userId": 1,
  "latitude": 91,
  "longitude": 106.660172
}</t>
  </si>
  <si>
    <t>{
  "status": 400,
  "message": "Latitude phải nằm trong khoảng -90 đến 90. Giá trị hiện tại: 91"
}</t>
  </si>
  <si>
    <t>UC-1.1-TC-5</t>
  </si>
  <si>
    <t>Create address with invalid latitude (out of range &lt; -90)</t>
  </si>
  <si>
    <t>{
  "userId": 1,
  "latitude": -91,
  "longitude": 106.660172
}</t>
  </si>
  <si>
    <t>{
  "status": 400,
  "message": "Latitude phải nằm trong khoảng -90 đến 90. Giá trị hiện tại: -91"
}</t>
  </si>
  <si>
    <t>UC-1.1-TC-6</t>
  </si>
  <si>
    <t>Create address with invalid longitude (out of range &gt; 180)</t>
  </si>
  <si>
    <t>{
  "userId": 1,
  "latitude": 10.762622,
  "longitude": 181
}</t>
  </si>
  <si>
    <t>{
  "status": 400,
  "message": "Longitude phải nằm trong khoảng -180 đến 180. Giá trị hiện tại: 181"
}</t>
  </si>
  <si>
    <t>UC-1.1-TC-7</t>
  </si>
  <si>
    <t>Create address with invalid longitude (out of range &lt; -180)</t>
  </si>
  <si>
    <t>{
  "userId": 1,
  "latitude": 10.762622,
  "longitude": -181
}</t>
  </si>
  <si>
    <t>{
  "status": 400,
  "message": "Longitude phải nằm trong khoảng -180 đến 180. Giá trị hiện tại: -181"
}</t>
  </si>
  <si>
    <t>UC-1.1-TC-8</t>
  </si>
  <si>
    <t>Create address with coordinates that cannot be geocoded</t>
  </si>
  <si>
    <t>{
  "userId": 1,
  "latitude": 0,
  "longitude": 0
}</t>
  </si>
  <si>
    <t>{
  "status": 400,
  "message": "Không tìm thấy địa chỉ hợp lệ tại Lat:0, Lon:0"
}</t>
  </si>
  <si>
    <t>UC-1.1-TC-9</t>
  </si>
  <si>
    <t>Create address with missing latitude</t>
  </si>
  <si>
    <t>{
  "userId": 1,
  "longitude": 106.660172
}</t>
  </si>
  <si>
    <t>{
  "status": 400,
  "message": "Latitude is required"
}</t>
  </si>
  <si>
    <t>UC-1.1-TC-10</t>
  </si>
  <si>
    <t>Create address with missing longitude</t>
  </si>
  <si>
    <t>{
  "userId": 1,
  "latitude": 10.762622
}</t>
  </si>
  <si>
    <t>{
  "status": 400,
  "message": "Longitude is required"
}</t>
  </si>
  <si>
    <t>UC-1.2-TC-1</t>
  </si>
  <si>
    <t>Update address with valid coordinates</t>
  </si>
  <si>
    <t>{
  "addressId": 1,
  "latitude": 10.775843,
  "longitude": 106.701755
}</t>
  </si>
  <si>
    <t>{
  "Address": {
    "addressId": 1,
    "latitude": 10.775843,
    "longitude": 106.701755,
    "fullAddress": "456 Đường DEF, Phường UVW, Quận 2, Thành phố Hồ Chí Minh",
    "updatedAt": "2025-04-18T19:00:00.000"
  }
}</t>
  </si>
  <si>
    <t>UC-1.2-TC-2</t>
  </si>
  <si>
    <t>Update address with invalid addressId (not found)</t>
  </si>
  <si>
    <t>{
  "addressId": 99999,
  "latitude": 10.775843,
  "longitude": 106.701755
}</t>
  </si>
  <si>
    <t>{
  "status": 404,
  "message": "Không tìm thấy địa chỉ"
}</t>
  </si>
  <si>
    <t>UC-1.2-TC-3</t>
  </si>
  <si>
    <t>Update address with invalid latitude (&gt; 90)</t>
  </si>
  <si>
    <t>{
  "addressId": 1,
  "latitude": 91,
  "longitude": 106.701755
}</t>
  </si>
  <si>
    <t>UC-1.2-TC-4</t>
  </si>
  <si>
    <t>Update address with invalid longitude (&gt; 180)</t>
  </si>
  <si>
    <t>{
  "addressId": 1,
  "latitude": 10.775843,
  "longitude": 181
}</t>
  </si>
  <si>
    <t>UC-1.2-TC-5</t>
  </si>
  <si>
    <t>Update address with missing latitude</t>
  </si>
  <si>
    <t>{
  "addressId": 1,
  "longitude": 106.701755
}</t>
  </si>
  <si>
    <t>UC-1.2-TC-6</t>
  </si>
  <si>
    <t>Update address with missing longitude</t>
  </si>
  <si>
    <t>{
  "addressId": 1,
  "latitude": 10.775843
}</t>
  </si>
  <si>
    <t>UC-1.3-TC-1</t>
  </si>
  <si>
    <t>Get address by valid ID</t>
  </si>
  <si>
    <t>{
  "addressId": 1
}</t>
  </si>
  <si>
    <t>{
  "Address": {
    "addressId": 1,
    "latitude": 10.762622,
    "longitude": 106.660172,
    "fullAddress": "123 Đường ABC, Phường XYZ, Quận 1, Thành phố Hồ Chí Minh",
    "city": "Thành phố Hồ Chí Minh",
    "district": "Quận 1",
    "ward": "Phường XYZ",
    "createdAt": "2025-04-18 18:58:49",
    "updatedAt": "2025-04-18 18:58:49"
  }
}</t>
  </si>
  <si>
    <t>UC-1.3-TC-2</t>
  </si>
  <si>
    <t>Get address with invalid addressId (not found)</t>
  </si>
  <si>
    <t>{
  "addressId": 99999
}</t>
  </si>
  <si>
    <t>UC-1.3-TC-3</t>
  </si>
  <si>
    <t>Get address with negative addressId</t>
  </si>
  <si>
    <t>{
  "addressId": -1
}</t>
  </si>
  <si>
    <t>UC-1.3-TC-4</t>
  </si>
  <si>
    <t>Get address with zero addressId</t>
  </si>
  <si>
    <t>{
  "addressId": 0
}</t>
  </si>
  <si>
    <t>UC-1.4-TC-1</t>
  </si>
  <si>
    <t>Update address manually with valid data (all fields)</t>
  </si>
  <si>
    <t>{
  "addressId": 1,
  "city": "Hà Nội",
  "district": "Quận Hoàn Kiếm",
  "ward": "Phường Tràng Tiền"
}</t>
  </si>
  <si>
    <t>{
  "message": "Cập nhật địa chỉ thành công",
  "Address": {
    "addressId": 1,
    "city": "Hà Nội",
    "district": "Quận Hoàn Kiếm",
    "ward": "Phường Tràng Tiền",
    "fullAddress": "Phường Tràng Tiền, Quận Hoàn Kiếm, Hà Nội",
    "updatedAt": "2025-04-18T19:05:00.000"
  }
}</t>
  </si>
  <si>
    <t>UC-1.4-TC-2</t>
  </si>
  <si>
    <t>Update address manually with only city</t>
  </si>
  <si>
    <t>{
  "addressId": 1,
  "city": "Đà Nẵng"
}</t>
  </si>
  <si>
    <t>{
  "message": "Cập nhật địa chỉ thành công",
  "Address": {
    "addressId": 1,
    "city": "Đà Nẵng",
    "district": "Quận 1",
    "ward": "Phường XYZ",
    "fullAddress": "Phường XYZ, Quận 1, Đà Nẵng",
    "updatedAt": "2025-04-18T19:06:00.000"
  }
}</t>
  </si>
  <si>
    <t>UC-1.4-TC-3</t>
  </si>
  <si>
    <t>Update address manually with only district</t>
  </si>
  <si>
    <t>{
  "addressId": 1,
  "district": "Quận Cầu Giấy"
}</t>
  </si>
  <si>
    <t>{
  "message": "Cập nhật địa chỉ thành công",
  "Address": {
    "addressId": 1,
    "city": "Hà Nội",
    "district": "Quận Cầu Giấy",
    "ward": "Phường Tràng Tiền",
    "fullAddress": "Phường Tràng Tiền, Quận Cầu Giấy, Hà Nội",
    "updatedAt": "2025-04-18T19:07:00.000"
  }
}</t>
  </si>
  <si>
    <t>UC-1.4-TC-4</t>
  </si>
  <si>
    <t>Update address manually with only ward</t>
  </si>
  <si>
    <t>{
  "addressId": 1,
  "ward": "Phường Láng Thượng"
}</t>
  </si>
  <si>
    <t>{
  "message": "Cập nhật địa chỉ thành công",
  "Address": {
    "addressId": 1,
    "city": "Hà Nội",
    "district": "Quận Hoàn Kiếm",
    "ward": "Phường Láng Thượng",
    "fullAddress": "Phường Láng Thượng, Quận Hoàn Kiếm, Hà Nội",
    "updatedAt": "2025-04-18T19:08:00.000"
  }
}</t>
  </si>
  <si>
    <t>UC-1.4-TC-5</t>
  </si>
  <si>
    <t>Update address manually with invalid addressId (not found)</t>
  </si>
  <si>
    <t>{
  "addressId": 99999,
  "city": "Hà Nội",
  "district": "Quận Hoàn Kiếm",
  "ward": "Phường Tràng Tiền"
}</t>
  </si>
  <si>
    <t>UC-1.4-TC-6</t>
  </si>
  <si>
    <t>Update address manually with empty city</t>
  </si>
  <si>
    <t>{
  "addressId": 1,
  "city": "",
  "district": "Quận Hoàn Kiếm",
  "ward": "Phường Tràng Tiền"
}</t>
  </si>
  <si>
    <t>{
  "message": "Cập nhật địa chỉ thành công",
  "Address": {
    "addressId": 1,
    "city": "Thành phố Hồ Chí Minh",
    "district": "Quận Hoàn Kiếm",
    "ward": "Phường Tràng Tiền",
    "fullAddress": "Phường Tràng Tiền, Quận Hoàn Kiếm",
    "updatedAt": "2025-04-18T19:09:00.000"
  }
}</t>
  </si>
  <si>
    <t>UC-1.4-TC-7</t>
  </si>
  <si>
    <t>Update address manually with all empty fields</t>
  </si>
  <si>
    <t>{
  "addressId": 1,
  "city": "",
  "district": "",
  "ward": ""
}</t>
  </si>
  <si>
    <t>{
  "message": "Cập nhật địa chỉ thành công",
  "Address": {
    "addressId": 1,
    "city": "Thành phố Hồ Chí Minh",
    "district": "Quận 1",
    "ward": "Phường XYZ",
    "fullAddress": "",
    "updatedAt": "2025-04-18T19:10:00.000"
  }
}</t>
  </si>
  <si>
    <t>UC-UP-1.1-TC-1</t>
  </si>
  <si>
    <t>Get user preferences with valid userId</t>
  </si>
  <si>
    <t>{"userId": 1}</t>
  </si>
  <si>
    <t>{"success": true, "message": "Lấy sở thích thành công.", "data": [{"attributeId": 1, "attributeName": "Giống loài", "typeValue": "string", "unit": null, "optionId": 5, "optionName": "Chó Phốc Sóc", "maxValue": null, "minValue": null, "createdAt": "2025-01-15T10:30:00", "updatedAt": "2025-01-15T10:30:00"}]}</t>
  </si>
  <si>
    <t>UC-UP-1.1-TC-2</t>
  </si>
  <si>
    <t>Get user preferences with non-existent userId</t>
  </si>
  <si>
    <t>{"userId": 99999}</t>
  </si>
  <si>
    <t>{"success": false, "message": "Không tìm thấy người dùng."}</t>
  </si>
  <si>
    <t>UC-UP-1.1-TC-3</t>
  </si>
  <si>
    <t>Get user preferences with invalid userId (negative)</t>
  </si>
  <si>
    <t>{"userId": -1}</t>
  </si>
  <si>
    <t>{"success": false, "message": "UserId không hợp lệ."}</t>
  </si>
  <si>
    <t>UC-UP-1.1-TC-4</t>
  </si>
  <si>
    <t>Get user preferences for user with no preferences</t>
  </si>
  <si>
    <t>{"userId": 2}</t>
  </si>
  <si>
    <t>{"success": true, "message": "Lấy sở thích thành công.", "data": []}</t>
  </si>
  <si>
    <t>UC-UP-2.1-TC-1</t>
  </si>
  <si>
    <t>Delete user preferences with valid userId</t>
  </si>
  <si>
    <t>{"success": true, "message": "Đã xóa sở thích của người dùng 1."}</t>
  </si>
  <si>
    <t>UC-UP-2.1-TC-2</t>
  </si>
  <si>
    <t>Delete user preferences with non-existent userId</t>
  </si>
  <si>
    <t>{"success": false, "message": "Người dùng không có sở thích nào để xóa."}</t>
  </si>
  <si>
    <t>UC-UP-2.1-TC-3</t>
  </si>
  <si>
    <t>Delete user preferences with invalid userId (zero)</t>
  </si>
  <si>
    <t>{"userId": 0}</t>
  </si>
  <si>
    <t>UC-UP-2.1-TC-4</t>
  </si>
  <si>
    <t>Delete user preferences for user with no preferences</t>
  </si>
  <si>
    <t>UC-UP-3.1-TC-1</t>
  </si>
  <si>
    <t>Upsert batch with valid single preference (option type)</t>
  </si>
  <si>
    <t>{"userId": 1, "preferences": [{"attributeId": 1, "optionId": 5, "minValue": null, "maxValue": null}]}</t>
  </si>
  <si>
    <t>{"success": true, "message": "Cập nhật sở thích thành công.", "data": [{"attributeId": 1, "attributeName": "Giống loài", "typeValue": "string", "unit": null, "optionId": 5, "optionName": "Chó Phốc Sóc", "maxValue": null, "minValue": null}]}</t>
  </si>
  <si>
    <t>UC-UP-3.1-TC-2</t>
  </si>
  <si>
    <t>Upsert batch with valid single preference (range type)</t>
  </si>
  <si>
    <t>{"userId": 1, "preferences": [{"attributeId": 2, "optionId": null, "minValue": 5, "maxValue": 15}]}</t>
  </si>
  <si>
    <t>{"success": true, "message": "Cập nhật sở thích thành công.", "data": [{"attributeId": 2, "attributeName": "Cân nặng", "typeValue": "float", "unit": "kg", "optionId": null, "optionName": null, "maxValue": 15, "minValue": 5}]}</t>
  </si>
  <si>
    <t>UC-UP-3.1-TC-3</t>
  </si>
  <si>
    <t>Upsert batch with multiple valid preferences</t>
  </si>
  <si>
    <t>{"userId": 1, "preferences": [{"attributeId": 1, "optionId": 5, "minValue": null, "maxValue": null}, {"attributeId": 2, "optionId": null, "minValue": 5, "maxValue": 15}, {"attributeId": 3, "optionId": 10, "minValue": null, "maxValue": null}]}</t>
  </si>
  <si>
    <t>{"success": true, "message": "Cập nhật sở thích thành công.", "data": [{"attributeId": 1, "optionId": 5}, {"attributeId": 2, "minValue": 5, "maxValue": 15}, {"attributeId": 3, "optionId": 10}]}</t>
  </si>
  <si>
    <t>UC-UP-3.1-TC-4</t>
  </si>
  <si>
    <t>Upsert batch with empty preferences array</t>
  </si>
  <si>
    <t>{"userId": 1, "preferences": []}</t>
  </si>
  <si>
    <t>{"success": false, "message": "Danh sách sở thích không được trống."}</t>
  </si>
  <si>
    <t>UC-UP-3.1-TC-5</t>
  </si>
  <si>
    <t>Upsert batch with invalid attributeId</t>
  </si>
  <si>
    <t>{"userId": 1, "preferences": [{"attributeId": 99999, "optionId": 5, "minValue": null, "maxValue": null}]}</t>
  </si>
  <si>
    <t>{"success": false, "message": "Không tìm thấy thuộc tính với ID 99999."}</t>
  </si>
  <si>
    <t>UC-UP-3.1-TC-6</t>
  </si>
  <si>
    <t>Upsert batch with invalid optionId for attribute</t>
  </si>
  <si>
    <t>{"userId": 1, "preferences": [{"attributeId": 1, "optionId": 99999, "minValue": null, "maxValue": null}]}</t>
  </si>
  <si>
    <t>{"success": false, "message": "Option ID 99999 không hợp lệ cho attribute ID 1."}</t>
  </si>
  <si>
    <t>UC-UP-3.1-TC-7</t>
  </si>
  <si>
    <t>Upsert batch with invalid range (min &gt; max)</t>
  </si>
  <si>
    <t>{"userId": 1, "preferences": [{"attributeId": 2, "optionId": null, "minValue": 20, "maxValue": 10}]}</t>
  </si>
  <si>
    <t>{"success": false, "message": "Giá trị MinValue không được lớn hơn MaxValue."}</t>
  </si>
  <si>
    <t>UC-UP-3.1-TC-8</t>
  </si>
  <si>
    <t>Upsert batch with non-existent userId</t>
  </si>
  <si>
    <t>{"userId": 99999, "preferences": [{"attributeId": 1, "optionId": 5, "minValue": null, "maxValue": null}]}</t>
  </si>
  <si>
    <t>UC-UP-3.1-TC-9</t>
  </si>
  <si>
    <t>Upsert batch with missing required data for string type</t>
  </si>
  <si>
    <t>{"userId": 1, "preferences": [{"attributeId": 1, "optionId": null, "minValue": null, "maxValue": null}]}</t>
  </si>
  <si>
    <t>{"success": false, "message": "Thuộc tính kiểu string yêu cầu OptionId."}</t>
  </si>
  <si>
    <t>UC-UP-3.1-TC-10</t>
  </si>
  <si>
    <t>Upsert batch with missing required data for range type</t>
  </si>
  <si>
    <t>{"userId": 1, "preferences": [{"attributeId": 2, "optionId": null, "minValue": null, "maxValue": null}]}</t>
  </si>
  <si>
    <t>{"success": false, "message": "Thuộc tính kiểu float yêu cầu MinValue và MaxValue."}</t>
  </si>
  <si>
    <t>UC-UP-3.1-TC-11</t>
  </si>
  <si>
    <t>Upsert batch with duplicate attributeIds</t>
  </si>
  <si>
    <t>{"userId": 1, "preferences": [{"attributeId": 1, "optionId": 5, "minValue": null, "maxValue": null}, {"attributeId": 1, "optionId": 6, "minValue": null, "maxValue": null}]}</t>
  </si>
  <si>
    <t>{"success": false, "message": "Danh sách chứa attributeId trùng lặp."}</t>
  </si>
  <si>
    <t>UC-UP-3.1-TC-12</t>
  </si>
  <si>
    <t>Upsert batch to update existing preferences</t>
  </si>
  <si>
    <t>{"userId": 1, "preferences": [{"attributeId": 1, "optionId": 7, "minValue": null, "maxValue": null}]}</t>
  </si>
  <si>
    <t>{"success": true, "message": "Cập nhật sở thích thành công.", "data": [{"attributeId": 1, "attributeName": "Giống loài", "typeValue": "string", "unit": null, "optionId": 7, "optionName": "Chó Corgi", "maxValue": null, "minValue": null}]}</t>
  </si>
  <si>
    <t>UC-U-1.1-TC-1</t>
  </si>
  <si>
    <t>Get all users with default pagination</t>
  </si>
  <si>
    <t>{"search": null, "roleId": null, "statusId": null, "page": 1, "pageSize": 20, "includeDeleted": false}</t>
  </si>
  <si>
    <t>{"success": true, "data": {"items": [{"userId": 1, "roleId": 3, "userStatusId": 1, "fullName": "Nguyen Van A", "email": "nguyenvana@example.com", "isProfileComplete": true, "isDeleted": false}], "total": 50, "page": 1, "pageSize": 20}}</t>
  </si>
  <si>
    <t>UC-U-1.1-TC-2</t>
  </si>
  <si>
    <t>Get users with search by name</t>
  </si>
  <si>
    <t>{"search": "Nguyen", "roleId": null, "statusId": null, "page": 1, "pageSize": 20, "includeDeleted": false}</t>
  </si>
  <si>
    <t>{"success": true, "data": {"items": [{"userId": 1, "fullName": "Nguyen Van A", "email": "nguyenvana@example.com"}], "total": 15, "page": 1, "pageSize": 20}}</t>
  </si>
  <si>
    <t>UC-U-1.1-TC-3</t>
  </si>
  <si>
    <t>Get users filtered by roleId</t>
  </si>
  <si>
    <t>{"search": null, "roleId": 3, "statusId": null, "page": 1, "pageSize": 20, "includeDeleted": false}</t>
  </si>
  <si>
    <t>{"success": true, "data": {"items": [{"userId": 1, "roleId": 3, "fullName": "User A"}], "total": 30, "page": 1, "pageSize": 20}}</t>
  </si>
  <si>
    <t>UC-U-1.1-TC-4</t>
  </si>
  <si>
    <t>Get users filtered by statusId</t>
  </si>
  <si>
    <t>{"search": null, "roleId": null, "statusId": 1, "page": 1, "pageSize": 20, "includeDeleted": false}</t>
  </si>
  <si>
    <t>{"success": true, "data": {"items": [{"userId": 1, "userStatusId": 1, "fullName": "Active User"}], "total": 40, "page": 1, "pageSize": 20}}</t>
  </si>
  <si>
    <t>UC-U-1.1-TC-5</t>
  </si>
  <si>
    <t>Get users with custom page size</t>
  </si>
  <si>
    <t>{"search": null, "roleId": null, "statusId": null, "page": 1, "pageSize": 10, "includeDeleted": false}</t>
  </si>
  <si>
    <t>{"success": true, "data": {"items": [...], "total": 50, "page": 1, "pageSize": 10}}</t>
  </si>
  <si>
    <t>UC-U-1.1-TC-6</t>
  </si>
  <si>
    <t>Get users including deleted ones</t>
  </si>
  <si>
    <t>{"search": null, "roleId": null, "statusId": null, "page": 1, "pageSize": 20, "includeDeleted": true}</t>
  </si>
  <si>
    <t>{"success": true, "data": {"items": [{"userId": 5, "isDeleted": true}, {"userId": 10, "isDeleted": false}], "total": 55, "page": 1, "pageSize": 20}}</t>
  </si>
  <si>
    <t>UC-U-1.1-TC-7</t>
  </si>
  <si>
    <t>Get users with page number beyond total pages</t>
  </si>
  <si>
    <t>{"search": null, "roleId": null, "statusId": null, "page": 999, "pageSize": 20, "includeDeleted": false}</t>
  </si>
  <si>
    <t>{"success": true, "data": {"items": [], "total": 50, "page": 999, "pageSize": 20}}</t>
  </si>
  <si>
    <t>UC-U-1.1-TC-8</t>
  </si>
  <si>
    <t>Get users with multiple filters combined</t>
  </si>
  <si>
    <t>{"search": "Nguyen", "roleId": 3, "statusId": 1, "page": 1, "pageSize": 20, "includeDeleted": false}</t>
  </si>
  <si>
    <t>{"success": true, "data": {"items": [{"userId": 1, "roleId": 3, "userStatusId": 1, "fullName": "Nguyen Van A"}], "total": 5, "page": 1, "pageSize": 20}}</t>
  </si>
  <si>
    <t>UC-U-2.1-TC-1</t>
  </si>
  <si>
    <t>Register with valid data</t>
  </si>
  <si>
    <t>{"fullName": "Nguyen Van Test", "gender": "Male", "email": "test@example.com", "password": "Test@123", "providerLogin": null, "isDelete": false, "isProfileComplete": false}</t>
  </si>
  <si>
    <t>{"success": true, "message": "Đăng ký thành công! Vui lòng kiểm tra email để xác thực tài khoản.", "data": {"userId": 100, "fullName": "Nguyen Van Test", "email": "test@example.com", "roleId": 3, "isProfileComplete": false, "isDeleted": false, "createdAt": "2025-11-30T10:00:00"}}</t>
  </si>
  <si>
    <t>UC-U-2.1-TC-2</t>
  </si>
  <si>
    <t>Register with duplicate email</t>
  </si>
  <si>
    <t>{"fullName": "Test User", "gender": "Male", "email": "existing@example.com", "password": "Test@123"}</t>
  </si>
  <si>
    <t>{"success": false, "message": "Email đã được sử dụng."}</t>
  </si>
  <si>
    <t>UC-U-2.1-TC-3</t>
  </si>
  <si>
    <t>Register with invalid email format</t>
  </si>
  <si>
    <t>{"fullName": "Test User", "gender": "Male", "email": "invalid-email", "password": "Test@123"}</t>
  </si>
  <si>
    <t>{"success": false, "message": "Email không hợp lệ."}</t>
  </si>
  <si>
    <t>UC-U-2.1-TC-4</t>
  </si>
  <si>
    <t>Register with password too short</t>
  </si>
  <si>
    <t>{"fullName": "Test User", "gender": "Male", "email": "test@example.com", "password": "12345"}</t>
  </si>
  <si>
    <t>{"success": false, "message": "Mật khẩu phải có ít nhất 6 ký tự."}</t>
  </si>
  <si>
    <t>UC-U-2.1-TC-5</t>
  </si>
  <si>
    <t>Register with missing required fullName</t>
  </si>
  <si>
    <t>{"fullName": null, "gender": "Male", "email": "test@example.com", "password": "Test@123"}</t>
  </si>
  <si>
    <t>{"success": false, "message": "FullName là bắt buộc."}</t>
  </si>
  <si>
    <t>UC-U-2.1-TC-6</t>
  </si>
  <si>
    <t>Register with missing required email</t>
  </si>
  <si>
    <t>{"fullName": "Test User", "gender": "Male", "email": null, "password": "Test@123"}</t>
  </si>
  <si>
    <t>{"success": false, "message": "Email là bắt buộc."}</t>
  </si>
  <si>
    <t>UC-U-2.1-TC-7</t>
  </si>
  <si>
    <t>Register with missing required password</t>
  </si>
  <si>
    <t>{"fullName": "Test User", "gender": "Male", "email": "test@example.com", "password": null}</t>
  </si>
  <si>
    <t>{"success": false, "message": "Password là bắt buộc."}</t>
  </si>
  <si>
    <t>UC-U-2.1-TC-8</t>
  </si>
  <si>
    <t>Register with provider login (OAuth)</t>
  </si>
  <si>
    <t>{"fullName": "Google User", "gender": "Female", "email": "google@example.com", "password": "Test@123", "providerLogin": "google"}</t>
  </si>
  <si>
    <t>{"success": true, "message": "Đăng ký thành công!", "data": {"userId": 101, "email": "google@example.com", "providerLogin": "google"}}</t>
  </si>
  <si>
    <t>UC-U-2.1-TC-9</t>
  </si>
  <si>
    <t>Register with fullName exceeding max length</t>
  </si>
  <si>
    <t>{"fullName": "A very long name that exceeds the maximum allowed length of 100 characters which should trigger a validation error message", "gender": "Male", "email": "test@example.com", "password": "Test@123"}</t>
  </si>
  <si>
    <t>{"success": false, "message": "FullName không được vượt quá 100 ký tự."}</t>
  </si>
  <si>
    <t>UC-U-2.1-TC-10</t>
  </si>
  <si>
    <t>Register with empty gender</t>
  </si>
  <si>
    <t>{"fullName": "Test User", "gender": null, "email": "test@example.com", "password": "Test@123"}</t>
  </si>
  <si>
    <t>{"success": true, "message": "Đăng ký thành công!", "data": {"userId": 102, "fullName": "Test User", "gender": null}}</t>
  </si>
  <si>
    <t>UC-U-3.1-TC-1</t>
  </si>
  <si>
    <t>Get user by valid userId</t>
  </si>
  <si>
    <t>{"success": true, "data": {"userId": 1, "roleId": 3, "userStatusId": 1, "fullName": "Nguyen Van A", "gender": "Male", "email": "nguyenvana@example.com", "isProfileComplete": true, "isDeleted": false, "createdAt": "2025-01-15T10:00:00", "updatedAt": "2025-01-20T14:30:00"}}</t>
  </si>
  <si>
    <t>UC-U-3.1-TC-2</t>
  </si>
  <si>
    <t>Get user by non-existent userId</t>
  </si>
  <si>
    <t>UC-U-3.1-TC-3</t>
  </si>
  <si>
    <t>Get user by invalid userId (negative)</t>
  </si>
  <si>
    <t>UC-U-3.1-TC-4</t>
  </si>
  <si>
    <t>Get user by userId zero</t>
  </si>
  <si>
    <t>UC-U-3.1-TC-5</t>
  </si>
  <si>
    <t>Get deleted user by userId</t>
  </si>
  <si>
    <t>{"userId": 5}</t>
  </si>
  <si>
    <t>UC-U-4.1-TC-1</t>
  </si>
  <si>
    <t>Update user with valid data</t>
  </si>
  <si>
    <t>{"userId": 1, "fullName": "Nguyen Van B", "gender": "Male", "addressId": 10, "newPassword": null}</t>
  </si>
  <si>
    <t>{"success": true, "message": "Cập nhật thông tin thành công.", "data": {"userId": 1, "fullName": "Nguyen Van B", "gender": "Male", "addressId": 10, "updatedAt": "2025-11-30T11:00:00"}}</t>
  </si>
  <si>
    <t>UC-U-4.1-TC-2</t>
  </si>
  <si>
    <t>Update user with new password</t>
  </si>
  <si>
    <t>{"userId": 1, "fullName": "Nguyen Van A", "gender": "Male", "addressId": null, "newPassword": "NewPass@456"}</t>
  </si>
  <si>
    <t>{"success": true, "message": "Cập nhật thông tin và mật khẩu thành công.", "data": {"userId": 1, "updatedAt": "2025-11-30T11:05:00"}}</t>
  </si>
  <si>
    <t>UC-U-4.1-TC-3</t>
  </si>
  <si>
    <t>Update user with non-existent userId</t>
  </si>
  <si>
    <t>{"userId": 99999, "fullName": "Test", "gender": "Male", "addressId": null, "newPassword": null}</t>
  </si>
  <si>
    <t>UC-U-4.1-TC-4</t>
  </si>
  <si>
    <t>Update user with invalid new password (too short)</t>
  </si>
  <si>
    <t>{"userId": 1, "fullName": "Nguyen Van A", "gender": "Male", "addressId": null, "newPassword": "123"}</t>
  </si>
  <si>
    <t>{"success": false, "message": "Mật khẩu mới phải có ít nhất 6 ký tự."}</t>
  </si>
  <si>
    <t>UC-U-4.1-TC-5</t>
  </si>
  <si>
    <t>Update user with missing required fullName</t>
  </si>
  <si>
    <t>{"userId": 1, "fullName": null, "gender": "Male", "addressId": null, "newPassword": null}</t>
  </si>
  <si>
    <t>UC-U-4.1-TC-6</t>
  </si>
  <si>
    <t>Update user with invalid addressId</t>
  </si>
  <si>
    <t>{"userId": 1, "fullName": "Nguyen Van A", "gender": "Male", "addressId": 99999, "newPassword": null}</t>
  </si>
  <si>
    <t>{"success": false, "message": "Không tìm thấy địa chỉ với ID 99999."}</t>
  </si>
  <si>
    <t>UC-U-4.1-TC-7</t>
  </si>
  <si>
    <t>Update user fullName exceeding max length</t>
  </si>
  <si>
    <t>{"userId": 1, "fullName": "A very long name that exceeds the maximum allowed length of 100 characters which should trigger validation", "gender": "Male", "addressId": null, "newPassword": null}</t>
  </si>
  <si>
    <t>UC-U-4.1-TC-8</t>
  </si>
  <si>
    <t>Update user gender only</t>
  </si>
  <si>
    <t>{"userId": 1, "fullName": "Nguyen Van A", "gender": "Female", "addressId": null, "newPassword": null}</t>
  </si>
  <si>
    <t>{"success": true, "message": "Cập nhật thông tin thành công.", "data": {"userId": 1, "gender": "Female", "updatedAt": "2025-11-30T11:10:00"}}</t>
  </si>
  <si>
    <t>UC-U-5.1-TC-1</t>
  </si>
  <si>
    <t>Soft delete user with valid userId</t>
  </si>
  <si>
    <t>{"userId": 10}</t>
  </si>
  <si>
    <t>{"success": true, "message": "Xóa người dùng thành công.", "status": 204}</t>
  </si>
  <si>
    <t>UC-U-5.1-TC-2</t>
  </si>
  <si>
    <t>Soft delete user with non-existent userId</t>
  </si>
  <si>
    <t>{"success": false, "message": "Không tìm thấy người dùng.", "status": 404}</t>
  </si>
  <si>
    <t>UC-U-5.1-TC-3</t>
  </si>
  <si>
    <t>Soft delete user with invalid userId (negative)</t>
  </si>
  <si>
    <t>{"success": false, "message": "UserId không hợp lệ.", "status": 400}</t>
  </si>
  <si>
    <t>UC-U-5.1-TC-4</t>
  </si>
  <si>
    <t>Soft delete user with userId zero</t>
  </si>
  <si>
    <t>UC-U-5.1-TC-5</t>
  </si>
  <si>
    <t>Soft delete already deleted user</t>
  </si>
  <si>
    <t>{"success": false, "message": "Người dùng đã bị xóa trước đó.", "status": 404}</t>
  </si>
  <si>
    <t>UC-U-5.1-TC-6</t>
  </si>
  <si>
    <t>Soft delete admin user (should not allow)</t>
  </si>
  <si>
    <t>{"success": false, "message": "Không thể xóa tài khoản Admin.", "status": 403}</t>
  </si>
  <si>
    <t>UC-U-6.1-TC-1</t>
  </si>
  <si>
    <t>Complete profile with valid userId</t>
  </si>
  <si>
    <t>{"success": true, "message": "Đã hoàn thành hồ sơ.", "data": {"isProfileComplete": true}}</t>
  </si>
  <si>
    <t>UC-U-6.1-TC-2</t>
  </si>
  <si>
    <t>Complete profile with non-existent userId</t>
  </si>
  <si>
    <t>UC-U-6.1-TC-3</t>
  </si>
  <si>
    <t>Complete profile with invalid userId (negative)</t>
  </si>
  <si>
    <t>UC-U-6.1-TC-4</t>
  </si>
  <si>
    <t>Complete profile for already completed profile</t>
  </si>
  <si>
    <t>UC-U-6.1-TC-5</t>
  </si>
  <si>
    <t>Complete profile with userId zero</t>
  </si>
  <si>
    <t>UC-U-6.1-TC-6</t>
  </si>
  <si>
    <t>Complete profile for deleted user</t>
  </si>
  <si>
    <t>UC-U-7.1-TC-1</t>
  </si>
  <si>
    <t>Reset password with valid email and new password</t>
  </si>
  <si>
    <t>{"email": "test@example.com", "newPassword": "NewPass@789"}</t>
  </si>
  <si>
    <t>{"success": true, "message": "Đặt lại mật khẩu thành công."}</t>
  </si>
  <si>
    <t>UC-U-7.1-TC-2</t>
  </si>
  <si>
    <t>Reset password with non-existent email</t>
  </si>
  <si>
    <t>{"email": "notexist@example.com", "newPassword": "NewPass@789"}</t>
  </si>
  <si>
    <t>{"success": false, "message": "Không tìm thấy người dùng với email này."}</t>
  </si>
  <si>
    <t>UC-U-7.1-TC-3</t>
  </si>
  <si>
    <t>Reset password with invalid email format</t>
  </si>
  <si>
    <t>{"email": "invalid-email", "newPassword": "NewPass@789"}</t>
  </si>
  <si>
    <t>UC-U-7.1-TC-4</t>
  </si>
  <si>
    <t>Reset password with missing email</t>
  </si>
  <si>
    <t>{"email": null, "newPassword": "NewPass@789"}</t>
  </si>
  <si>
    <t>UC-U-7.1-TC-5</t>
  </si>
  <si>
    <t>Reset password with missing new password</t>
  </si>
  <si>
    <t>{"email": "test@example.com", "newPassword": null}</t>
  </si>
  <si>
    <t>{"success": false, "message": "NewPassword là bắt buộc."}</t>
  </si>
  <si>
    <t>UC-U-7.1-TC-6</t>
  </si>
  <si>
    <t>Reset password with new password too short</t>
  </si>
  <si>
    <t>{"email": "test@example.com", "newPassword": "12345"}</t>
  </si>
  <si>
    <t>UC-U-7.1-TC-7</t>
  </si>
  <si>
    <t>Reset password with new password exceeding max length</t>
  </si>
  <si>
    <t>{"email": "test@example.com", "newPassword": "ThisPasswordIsWayTooLongAndExceedsTheMaximumAllowedLengthOf100CharactersWhichShouldTriggerValidationError"}</t>
  </si>
  <si>
    <t>{"success": false, "message": "Mật khẩu mới không được vượt quá 100 ký tự."}</t>
  </si>
  <si>
    <t xml:space="preserve">        resetPassword</t>
  </si>
  <si>
    <t>UC-U-7.1-TC-8</t>
  </si>
  <si>
    <t>Reset password for deleted user</t>
  </si>
  <si>
    <t>{"email": "deleted@example.com", "newPassword": "NewPass@789"}</t>
  </si>
  <si>
    <t>{"success": false, "message": "Không thể đặt lại mật khẩu cho tài khoản đã bị xóa."}</t>
  </si>
  <si>
    <t>UC-PIA-1.1-TC-1</t>
  </si>
  <si>
    <t>Analyze image with valid JPG file</t>
  </si>
  <si>
    <t xml:space="preserve">
{
  "image": "valid_pet.jpg",
  "contentType": "image/jpeg",
  "size": 2048000
}</t>
  </si>
  <si>
    <t xml:space="preserve">
{
  "status": 200,
  "message": "Phân tích ảnh thành công."
}</t>
  </si>
  <si>
    <t>UC-PIA-1.1-TC-2</t>
  </si>
  <si>
    <t>Analyze image with valid PNG file</t>
  </si>
  <si>
    <t xml:space="preserve">
{
  "image": "valid_pet.png",
  "contentType": "image/png",
  "size": 3072000
}</t>
  </si>
  <si>
    <t>UC-PIA-1.1-TC-3</t>
  </si>
  <si>
    <t>Analyze image with valid WEBP file</t>
  </si>
  <si>
    <t xml:space="preserve">
{
  "image": "valid_pet.webp",
  "contentType": "image/webp",
  "size": 1536000
}</t>
  </si>
  <si>
    <t>UC-PIA-1.1-TC-4</t>
  </si>
  <si>
    <t>Analyze image with no file uploaded</t>
  </si>
  <si>
    <t xml:space="preserve">
{
  "image": null
}</t>
  </si>
  <si>
    <t xml:space="preserve">
{
  "status": 400,
  "message": "Vui lòng tải lên ảnh thú cưng"
}</t>
  </si>
  <si>
    <t>UC-PIA-1.1-TC-5</t>
  </si>
  <si>
    <t>Analyze image with empty file</t>
  </si>
  <si>
    <t xml:space="preserve">
{
  "image": "empty.jpg",
  "contentType": "image/jpeg",
  "size": 0
}</t>
  </si>
  <si>
    <t>UC-PIA-1.1-TC-6</t>
  </si>
  <si>
    <t>Analyze image with invalid file type (PDF)</t>
  </si>
  <si>
    <t xml:space="preserve">
{
  "image": "document.pdf",
  "contentType": "application/pdf",
  "size": 1024000
}</t>
  </si>
  <si>
    <t xml:space="preserve">
{
  "status": 400,
  "message": "Chỉ chấp nhận file ảnh định dạng JPG, PNG hoặc WEBP"
}</t>
  </si>
  <si>
    <t>UC-PIA-1.1-TC-7</t>
  </si>
  <si>
    <t>Analyze image with invalid file type (GIF)</t>
  </si>
  <si>
    <t xml:space="preserve">
{
  "image": "animated.gif",
  "contentType": "image/gif",
  "size": 2048000
}</t>
  </si>
  <si>
    <t>UC-PIA-1.1-TC-8</t>
  </si>
  <si>
    <t>Analyze image with file size exceeding 10MB</t>
  </si>
  <si>
    <t xml:space="preserve">
{
  "image": "large_image.jpg",
  "contentType": "image/jpeg",
  "size": 11534336
}</t>
  </si>
  <si>
    <t xml:space="preserve">
{
  "status": 400,
  "message": "Kích thước ảnh không được vượt quá 10MB"
}</t>
  </si>
  <si>
    <t>UC-PIA-1.1-TC-9</t>
  </si>
  <si>
    <t>Analyze image with file size exactly 10MB</t>
  </si>
  <si>
    <t xml:space="preserve">
{
  "image": "max_size.jpg",
  "contentType": "image/jpeg",
  "size": 10485760
}</t>
  </si>
  <si>
    <t>UC-PIA-1.1-TC-10</t>
  </si>
  <si>
    <t>Analyze image with corrupted file</t>
  </si>
  <si>
    <t xml:space="preserve">
{
  "image": "corrupted.jpg",
  "contentType": "image/jpeg",
  "size": 2048000
}</t>
  </si>
  <si>
    <t xml:space="preserve">
{
  "status": 400,
  "message": "Không thể phân tích ảnh. File có thể bị hỏng."
}</t>
  </si>
  <si>
    <t>UC-PIA-1.1-TC-11</t>
  </si>
  <si>
    <t>Analyze image with non-pet image</t>
  </si>
  <si>
    <t xml:space="preserve">
{
  "image": "landscape.jpg",
  "contentType": "image/jpeg",
  "size": 2048000
}</t>
  </si>
  <si>
    <t xml:space="preserve">
{
  "status": 400,
  "message": "Không phát hiện thú cưng trong ảnh."
}</t>
  </si>
  <si>
    <t>UC-PIA-1.1-TC-12</t>
  </si>
  <si>
    <t>Analyze image with multiple pets</t>
  </si>
  <si>
    <t xml:space="preserve">
{
  "image": "multiple_pets.jpg",
  "contentType": "image/jpeg",
  "size": 3072000
}</t>
  </si>
  <si>
    <t>UC-PIA-1.1-TC-13</t>
  </si>
  <si>
    <t>Analyze image with low quality image</t>
  </si>
  <si>
    <t xml:space="preserve">
{
  "image": "low_quality.jpg",
  "contentType": "image/jpeg",
  "size": 512000
}</t>
  </si>
  <si>
    <t>UC-PIA-1.1-TC-14</t>
  </si>
  <si>
    <t>Analyze image with very small file size</t>
  </si>
  <si>
    <t xml:space="preserve">
{
  "image": "tiny.jpg",
  "contentType": "image/jpeg",
  "size": 1024
}</t>
  </si>
  <si>
    <t>analyzeMultipleImages</t>
  </si>
  <si>
    <t>UC-PIA-2.1-TC-1</t>
  </si>
  <si>
    <t>Analyze multiple images with valid files</t>
  </si>
  <si>
    <t xml:space="preserve">
{
  "images": [
    {"file": "pet1.jpg", "contentType": "image/jpeg", "size": 2048000},
    {"file": "pet2.png", "contentType": "image/png", "size": 1536000},
    {"file": "pet3.jpg", "contentType": "image/jpeg", "size": 2560000}
  ]
}</t>
  </si>
  <si>
    <t xml:space="preserve">
{
  "status": 200,
  "message": "Phân tích 3 ảnh thành công."
}</t>
  </si>
  <si>
    <t>UC-PIA-2.1-TC-2</t>
  </si>
  <si>
    <t>Analyze multiple images with no files</t>
  </si>
  <si>
    <t xml:space="preserve">
{
  "images": []
}</t>
  </si>
  <si>
    <t xml:space="preserve">
{
  "status": 400,
  "message": "Vui lòng tải lên ít nhất một ảnh"
}</t>
  </si>
  <si>
    <t>UC-PIA-2.1-TC-3</t>
  </si>
  <si>
    <t>Analyze multiple images with null input</t>
  </si>
  <si>
    <t xml:space="preserve">
{
  "images": null
}</t>
  </si>
  <si>
    <t>UC-PIA-2.1-TC-4</t>
  </si>
  <si>
    <t>Analyze multiple images exceeding limit (6 images)</t>
  </si>
  <si>
    <t xml:space="preserve">
{
  "images": [
    {"file": "pet1.jpg"},
    {"file": "pet2.jpg"},
    {"file": "pet3.jpg"},
    {"file": "pet4.jpg"},
    {"file": "pet5.jpg"},
    {"file": "pet6.jpg"}
  ]
}</t>
  </si>
  <si>
    <t xml:space="preserve">
{
  "status": 400,
  "message": "Chỉ cho phép tối đa 5 ảnh mỗi lần"
}</t>
  </si>
  <si>
    <t>UC-PIA-2.1-TC-5</t>
  </si>
  <si>
    <t>Analyze multiple images with exactly 5 images</t>
  </si>
  <si>
    <t xml:space="preserve">
{
  "images": [
    {"file": "pet1.jpg"},
    {"file": "pet2.jpg"},
    {"file": "pet3.jpg"},
    {"file": "pet4.jpg"},
    {"file": "pet5.jpg"}
  ]
}</t>
  </si>
  <si>
    <t xml:space="preserve">
{
  "status": 200,
  "message": "Phân tích 5 ảnh thành công."
}</t>
  </si>
  <si>
    <t>UC-PIA-2.1-TC-6</t>
  </si>
  <si>
    <t>Analyze multiple images with one invalid file type</t>
  </si>
  <si>
    <t xml:space="preserve">
{
  "images": [
    {"file": "pet1.jpg", "contentType": "image/jpeg", "size": 2048000},
    {"file": "document.pdf", "contentType": "application/pdf", "size": 1024000}
  ]
}</t>
  </si>
  <si>
    <t xml:space="preserve">
{
  "status": 200,
  "message": "Một số ảnh không thể phân tích."
}</t>
  </si>
  <si>
    <t>UC-PIA-2.1-TC-7</t>
  </si>
  <si>
    <t>Analyze multiple images with one oversized file</t>
  </si>
  <si>
    <t xml:space="preserve">
{
  "images": [
    {"file": "pet1.jpg", "contentType": "image/jpeg", "size": 2048000},
    {"file": "large.jpg", "contentType": "image/jpeg", "size": 11534336}
  ]
}</t>
  </si>
  <si>
    <t>UC-PIA-2.1-TC-8</t>
  </si>
  <si>
    <t>Analyze multiple images with single valid image</t>
  </si>
  <si>
    <t xml:space="preserve">
{
  "images": [
    {"file": "pet1.jpg", "contentType": "image/jpeg", "size": 2048000}
  ]
}</t>
  </si>
  <si>
    <t xml:space="preserve">
{
  "status": 200,
  "message": "Phân tích 1 ảnh thành công."
}</t>
  </si>
  <si>
    <t>UC-PIA-2.1-TC-9</t>
  </si>
  <si>
    <t>Analyze multiple images with mixed quality</t>
  </si>
  <si>
    <t xml:space="preserve">
{
  "images": [
    {"file": "high_quality.jpg", "contentType": "image/jpeg", "size": 5120000},
    {"file": "low_quality.jpg", "contentType": "image/jpeg", "size": 512000}
  ]
}</t>
  </si>
  <si>
    <t xml:space="preserve">
{
  "status": 200,
  "message": "Phân tích 2 ảnh thành công."
}</t>
  </si>
  <si>
    <t>UC-PIA-2.1-TC-10</t>
  </si>
  <si>
    <t>Analyze multiple images all with invalid types</t>
  </si>
  <si>
    <t xml:space="preserve">
{
  "images": [
    {"file": "doc1.pdf", "contentType": "application/pdf"},
    {"file": "doc2.docx", "contentType": "application/vnd.openxmlformats-officedocument.wordprocessingml.document"}
  ]
}</t>
  </si>
  <si>
    <t xml:space="preserve">
{
  "status": 200,
  "message": "Không có ảnh hợp lệ để phân tích."
}</t>
  </si>
  <si>
    <t>D</t>
  </si>
  <si>
    <t>UC-P-1.1-TC-1</t>
  </si>
  <si>
    <t>Get pets by valid userId with existing pets</t>
  </si>
  <si>
    <t xml:space="preserve">
{
  "userId": 1
}</t>
  </si>
  <si>
    <t xml:space="preserve">
{
  "status": 200,
  "message": "Lấy danh sách thú cưng thành công."
}</t>
  </si>
  <si>
    <t>UC-P-1.1-TC-2</t>
  </si>
  <si>
    <t>Get pets by valid userId with no pets</t>
  </si>
  <si>
    <t xml:space="preserve">
{
  "userId": 2
}</t>
  </si>
  <si>
    <t xml:space="preserve">
{
  "status": 404,
  "message": "Không tìm thấy thú cưng nào cho người dùng này"
}</t>
  </si>
  <si>
    <t>UC-P-1.1-TC-3</t>
  </si>
  <si>
    <t>Get pets by non-existent userId</t>
  </si>
  <si>
    <t xml:space="preserve">
{
  "userId": 99999
}</t>
  </si>
  <si>
    <t>UC-P-1.1-TC-4</t>
  </si>
  <si>
    <t>Get pets by invalid userId (negative)</t>
  </si>
  <si>
    <t xml:space="preserve">
{
  "userId": -1
}</t>
  </si>
  <si>
    <t>UC-P-1.1-TC-5</t>
  </si>
  <si>
    <t>Get pets by userId zero</t>
  </si>
  <si>
    <t xml:space="preserve">
{
  "userId": 0
}</t>
  </si>
  <si>
    <t>UC-P-1.1-TC-6</t>
  </si>
  <si>
    <t>Get pets including deleted pets</t>
  </si>
  <si>
    <t xml:space="preserve">
{
  "userId": 3
}</t>
  </si>
  <si>
    <t>UC-P-1.1-TC-7</t>
  </si>
  <si>
    <t>Get pets with multiple pets</t>
  </si>
  <si>
    <t xml:space="preserve">
{
  "userId": 4
}</t>
  </si>
  <si>
    <t>UC-P-2.1-TC-1</t>
  </si>
  <si>
    <t>Get pets for matching with valid userId</t>
  </si>
  <si>
    <t xml:space="preserve">
{
  "status": 200,
  "message": "Lấy danh sách thú cưng để ghép đôi thành công."
}</t>
  </si>
  <si>
    <t>UC-P-2.1-TC-2</t>
  </si>
  <si>
    <t>Get pets for matching with no active pets</t>
  </si>
  <si>
    <t xml:space="preserve">
{
  "status": 200,
  "message": "Lấy danh sách thú cưng để ghép đôi thành công.",
  "data": []
}</t>
  </si>
  <si>
    <t>UC-P-2.1-TC-3</t>
  </si>
  <si>
    <t>Get pets for matching with non-existent userId</t>
  </si>
  <si>
    <t>UC-P-2.1-TC-4</t>
  </si>
  <si>
    <t>Get pets for matching excluding deleted pets</t>
  </si>
  <si>
    <t>DD</t>
  </si>
  <si>
    <t>UC-P-2.1-TC-5</t>
  </si>
  <si>
    <t>Get pets for matching only active pets</t>
  </si>
  <si>
    <t>UC-P-3.1-TC-1</t>
  </si>
  <si>
    <t>Get pet by valid petId</t>
  </si>
  <si>
    <t xml:space="preserve">
{
  "petId": 1
}</t>
  </si>
  <si>
    <t xml:space="preserve">
{
  "status": 200,
  "message": "Lấy thông tin thú cưng thành công."
}</t>
  </si>
  <si>
    <t>UC-P-3.1-TC-2</t>
  </si>
  <si>
    <t>Get pet by non-existent petId</t>
  </si>
  <si>
    <t xml:space="preserve">
{
  "petId": 99999
}</t>
  </si>
  <si>
    <t xml:space="preserve">
{
  "status": 404,
  "message": "Không tìm thấy thú cưng"
}</t>
  </si>
  <si>
    <t>UC-P-3.1-TC-3</t>
  </si>
  <si>
    <t>Get pet by invalid petId (negative)</t>
  </si>
  <si>
    <t xml:space="preserve">
{
  "petId": -1
}</t>
  </si>
  <si>
    <t>UC-P-3.1-TC-4</t>
  </si>
  <si>
    <t>Get pet by petId zero</t>
  </si>
  <si>
    <t xml:space="preserve">
{
  "petId": 0
}</t>
  </si>
  <si>
    <t>UC-P-3.1-TC-5</t>
  </si>
  <si>
    <t>Get deleted pet by petId</t>
  </si>
  <si>
    <t xml:space="preserve">
{
  "petId": 5
}</t>
  </si>
  <si>
    <t>UC-P-4.1-TC-1</t>
  </si>
  <si>
    <t>Create pet with valid data</t>
  </si>
  <si>
    <t xml:space="preserve">
{
  "userId": 1,
  "name": "Buddy",
  "breed": "Golden Retriever",
  "gender": "Male",
  "age": 3,
  "isActive": true,
  "description": "Friendly dog"
}</t>
  </si>
  <si>
    <t xml:space="preserve">
{
  "status": 200,
  "message": "Tạo thú cưng thành công."
}</t>
  </si>
  <si>
    <t>UC-P-4.1-TC-2</t>
  </si>
  <si>
    <t>Create pet with missing required name</t>
  </si>
  <si>
    <t xml:space="preserve">
{
  "userId": 1,
  "name": null,
  "breed": "Golden Retriever",
  "gender": "Male",
  "age": 3
}</t>
  </si>
  <si>
    <t xml:space="preserve">
{
  "status": 400,
  "message": "Tên thú cưng là bắt buộc."
}</t>
  </si>
  <si>
    <t>UC-P-4.1-TC-3</t>
  </si>
  <si>
    <t>Create pet with missing required breed</t>
  </si>
  <si>
    <t xml:space="preserve">
{
  "userId": 1,
  "name": "Buddy",
  "breed": null,
  "gender": "Male",
  "age": 3
}</t>
  </si>
  <si>
    <t xml:space="preserve">
{
  "status": 400,
  "message": "Giống loài là bắt buộc."
}</t>
  </si>
  <si>
    <t>UC-P-4.1-TC-4</t>
  </si>
  <si>
    <t>Create pet with missing required gender</t>
  </si>
  <si>
    <t xml:space="preserve">
{
  "userId": 1,
  "name": "Buddy",
  "breed": "Golden Retriever",
  "gender": null,
  "age": 3
}</t>
  </si>
  <si>
    <t xml:space="preserve">
{
  "status": 400,
  "message": "Giới tính là bắt buộc."
}</t>
  </si>
  <si>
    <t>UC-P-4.1-TC-5</t>
  </si>
  <si>
    <t>Create pet with non-existent userId</t>
  </si>
  <si>
    <t xml:space="preserve">
{
  "userId": 99999,
  "name": "Buddy",
  "breed": "Golden Retriever",
  "gender": "Male",
  "age": 3
}</t>
  </si>
  <si>
    <t xml:space="preserve">
{
  "status": 400,
  "message": "Không tìm thấy người dùng."
}</t>
  </si>
  <si>
    <t>UC-P-4.1-TC-6</t>
  </si>
  <si>
    <t>Create pet with negative age</t>
  </si>
  <si>
    <t xml:space="preserve">
{
  "userId": 1,
  "name": "Buddy",
  "breed": "Golden Retriever",
  "gender": "Male",
  "age": -1
}</t>
  </si>
  <si>
    <t xml:space="preserve">
{
  "status": 400,
  "message": "Tuổi không được âm."
}</t>
  </si>
  <si>
    <t>UC-P-4.1-TC-7</t>
  </si>
  <si>
    <t>Create pet with zero age</t>
  </si>
  <si>
    <t xml:space="preserve">
{
  "userId": 1,
  "name": "Buddy",
  "breed": "Golden Retriever",
  "gender": "Male",
  "age": 0
}</t>
  </si>
  <si>
    <t>UC-P-4.1-TC-8</t>
  </si>
  <si>
    <t>Create pet without optional description</t>
  </si>
  <si>
    <t xml:space="preserve">
{
  "userId": 1,
  "name": "Buddy",
  "breed": "Golden Retriever",
  "gender": "Male",
  "age": 3,
  "description": null
}</t>
  </si>
  <si>
    <t>UC-P-4.1-TC-9</t>
  </si>
  <si>
    <t>Create pet with empty name</t>
  </si>
  <si>
    <t xml:space="preserve">
{
  "userId": 1,
  "name": "",
  "breed": "Golden Retriever",
  "gender": "Male",
  "age": 3
}</t>
  </si>
  <si>
    <t xml:space="preserve">
{
  "status": 400,
  "message": "Tên thú cưng không được để trống."
}</t>
  </si>
  <si>
    <t>UC-P-4.1-TC-10</t>
  </si>
  <si>
    <t>Create pet with invalid userId (negative)</t>
  </si>
  <si>
    <t xml:space="preserve">
{
  "userId": -1,
  "name": "Buddy",
  "breed": "Golden Retriever",
  "gender": "Male",
  "age": 3
}</t>
  </si>
  <si>
    <t xml:space="preserve">
{
  "status": 400,
  "message": "UserId không hợp lệ."
}</t>
  </si>
  <si>
    <t>UC-P-4.1-TC-11</t>
  </si>
  <si>
    <t>Create pet with isActive false</t>
  </si>
  <si>
    <t xml:space="preserve">
{
  "userId": 1,
  "name": "Buddy",
  "breed": "Golden Retriever",
  "gender": "Male",
  "age": 3,
  "isActive": false
}</t>
  </si>
  <si>
    <t>UC-P-4.1-TC-12</t>
  </si>
  <si>
    <t>Create pet with very long description</t>
  </si>
  <si>
    <t xml:space="preserve">
{
  "userId": 1,
  "name": "Buddy",
  "breed": "Golden Retriever",
  "gender": "Male",
  "age": 3,
  "description": "Very long description exceeding max length..."
}</t>
  </si>
  <si>
    <t xml:space="preserve">
{
  "status": 400,
  "message": "Mô tả quá dài."
}</t>
  </si>
  <si>
    <t>UC-P-5.1-TC-1</t>
  </si>
  <si>
    <t>Update pet with valid data</t>
  </si>
  <si>
    <t xml:space="preserve">
{
  "petId": 1,
  "userId": 1,
  "name": "Buddy Updated",
  "breed": "Golden Retriever",
  "gender": "Male",
  "age": 4
}</t>
  </si>
  <si>
    <t xml:space="preserve">
{
  "status": 200,
  "message": "Cập nhật thú cưng thành công."
}</t>
  </si>
  <si>
    <t>UC-P-5.1-TC-2</t>
  </si>
  <si>
    <t>Update pet with non-existent petId</t>
  </si>
  <si>
    <t xml:space="preserve">
{
  "petId": 99999,
  "userId": 1,
  "name": "Buddy",
  "breed": "Golden Retriever",
  "gender": "Male",
  "age": 3
}</t>
  </si>
  <si>
    <t xml:space="preserve">
{
  "status": 404,
  "message": "Không tìm thấy thú cưng."
}</t>
  </si>
  <si>
    <t>UC-P-5.1-TC-3</t>
  </si>
  <si>
    <t>Update pet with invalid petId (negative)</t>
  </si>
  <si>
    <t xml:space="preserve">
{
  "petId": -1,
  "userId": 1,
  "name": "Buddy",
  "breed": "Golden Retriever",
  "gender": "Male",
  "age": 3
}</t>
  </si>
  <si>
    <t>UC-P-5.1-TC-4</t>
  </si>
  <si>
    <t>Update pet with missing required name</t>
  </si>
  <si>
    <t xml:space="preserve">
{
  "petId": 1,
  "userId": 1,
  "name": null,
  "breed": "Golden Retriever",
  "gender": "Male",
  "age": 3
}</t>
  </si>
  <si>
    <t>UC-P-5.1-TC-5</t>
  </si>
  <si>
    <t>Update pet with empty name</t>
  </si>
  <si>
    <t xml:space="preserve">
{
  "petId": 1,
  "userId": 1,
  "name": "",
  "breed": "Golden Retriever",
  "gender": "Male",
  "age": 3
}</t>
  </si>
  <si>
    <t>UC-P-5.1-TC-6</t>
  </si>
  <si>
    <t>Update pet with negative age</t>
  </si>
  <si>
    <t xml:space="preserve">
{
  "petId": 1,
  "userId": 1,
  "name": "Buddy",
  "breed": "Golden Retriever",
  "gender": "Male",
  "age": -1
}</t>
  </si>
  <si>
    <t>UC-P-5.1-TC-7</t>
  </si>
  <si>
    <t>Update pet name only</t>
  </si>
  <si>
    <t xml:space="preserve">
{
  "petId": 1,
  "userId": 1,
  "name": "New Name",
  "breed": "Golden Retriever",
  "gender": "Male",
  "age": 3
}</t>
  </si>
  <si>
    <t>UC-P-5.1-TC-8</t>
  </si>
  <si>
    <t>Update pet age only</t>
  </si>
  <si>
    <t xml:space="preserve">
{
  "petId": 1,
  "userId": 1,
  "name": "Buddy",
  "breed": "Golden Retriever",
  "gender": "Male",
  "age": 5
}</t>
  </si>
  <si>
    <t>UC-P-5.1-TC-9</t>
  </si>
  <si>
    <t>Update pet description</t>
  </si>
  <si>
    <t xml:space="preserve">
{
  "petId": 1,
  "userId": 1,
  "name": "Buddy",
  "breed": "Golden Retriever",
  "gender": "Male",
  "age": 3,
  "description": "Updated description"
}</t>
  </si>
  <si>
    <t>UC-P-5.1-TC-10</t>
  </si>
  <si>
    <t>Update pet with very long description</t>
  </si>
  <si>
    <t xml:space="preserve">
{
  "petId": 1,
  "userId": 1,
  "name": "Buddy",
  "breed": "Golden Retriever",
  "gender": "Male",
  "age": 3,
  "description": "Very long description exceeding max length..."
}</t>
  </si>
  <si>
    <t>UC-P-6.1-TC-1</t>
  </si>
  <si>
    <t>Delete pet with valid petId</t>
  </si>
  <si>
    <t xml:space="preserve">
{
  "status": 200,
  "message": "Xóa thú cưng thành công"
}</t>
  </si>
  <si>
    <t>UC-P-6.1-TC-2</t>
  </si>
  <si>
    <t>Delete pet with non-existent petId</t>
  </si>
  <si>
    <t>UC-P-6.1-TC-3</t>
  </si>
  <si>
    <t>Delete pet with invalid petId (negative)</t>
  </si>
  <si>
    <t>UC-P-6.1-TC-4</t>
  </si>
  <si>
    <t>Delete pet with petId zero</t>
  </si>
  <si>
    <t>UC-P-6.1-TC-5</t>
  </si>
  <si>
    <t>Delete already deleted pet</t>
  </si>
  <si>
    <t>UC-P-6.1-TC-6</t>
  </si>
  <si>
    <t>Delete active pet</t>
  </si>
  <si>
    <t xml:space="preserve">
{
  "petId": 2
}</t>
  </si>
  <si>
    <t>UC-P-6.1-TC-7</t>
  </si>
  <si>
    <t>Delete last pet of user</t>
  </si>
  <si>
    <t xml:space="preserve">
{
  "petId": 10
}</t>
  </si>
  <si>
    <t>UC-P-7.1-TC-1</t>
  </si>
  <si>
    <t>Set active pet with valid petId</t>
  </si>
  <si>
    <t xml:space="preserve">
{
  "status": 200,
  "message": "Đã đặt thú cưng làm mặc định"
}</t>
  </si>
  <si>
    <t>UC-P-7.1-TC-2</t>
  </si>
  <si>
    <t>Set active pet with non-existent petId</t>
  </si>
  <si>
    <t>UC-P-7.1-TC-3</t>
  </si>
  <si>
    <t>Set active pet with invalid petId (negative)</t>
  </si>
  <si>
    <t>UC-P-7.1-TC-4</t>
  </si>
  <si>
    <t>Set active pet with petId zero</t>
  </si>
  <si>
    <t xml:space="preserve">
{
  "petId": 3
}</t>
  </si>
  <si>
    <t>UC-PC-1.1-TC-1</t>
  </si>
  <si>
    <t>Get pet characteristics with valid petId</t>
  </si>
  <si>
    <t xml:space="preserve">
{
  "status": 200,
  "message": "Lấy đặc điểm thú cưng thành công."
}</t>
  </si>
  <si>
    <t>UC-PC-1.1-TC-2</t>
  </si>
  <si>
    <t>Get pet characteristics with no characteristics</t>
  </si>
  <si>
    <t xml:space="preserve">
{
  "status": 200,
  "message": "Lấy đặc điểm thú cưng thành công.",
  "data": []
}</t>
  </si>
  <si>
    <t>UC-PC-1.1-TC-3</t>
  </si>
  <si>
    <t>Get pet characteristics with non-existent petId</t>
  </si>
  <si>
    <t>UC-PC-1.1-TC-4</t>
  </si>
  <si>
    <t>Get pet characteristics with invalid petId (negative)</t>
  </si>
  <si>
    <t>UC-PC-1.1-TC-5</t>
  </si>
  <si>
    <t>Get pet characteristics with petId zero</t>
  </si>
  <si>
    <t>UC-PC-1.1-TC-6</t>
  </si>
  <si>
    <t>Get pet characteristics with multiple characteristics</t>
  </si>
  <si>
    <t>UC-PC-2.1-TC-1</t>
  </si>
  <si>
    <t>Create characteristic with valid option type (string)</t>
  </si>
  <si>
    <t xml:space="preserve">
{
  "petId": 1,
  "attributeId": 1,
  "optionId": 5,
  "value": null
}</t>
  </si>
  <si>
    <t xml:space="preserve">
{
  "status": 200,
  "message": "Tạo đặc điểm thành công."
}</t>
  </si>
  <si>
    <t>UC-PC-2.1-TC-2</t>
  </si>
  <si>
    <t>Create characteristic with valid value type (number)</t>
  </si>
  <si>
    <t xml:space="preserve">
{
  "petId": 1,
  "attributeId": 2,
  "optionId": null,
  "value": 15.5
}</t>
  </si>
  <si>
    <t>UC-PC-2.1-TC-3</t>
  </si>
  <si>
    <t>Create characteristic with non-existent petId</t>
  </si>
  <si>
    <t xml:space="preserve">
{
  "petId": 99999,
  "attributeId": 1,
  "optionId": 5,
  "value": null
}</t>
  </si>
  <si>
    <t>UC-PC-2.1-TC-4</t>
  </si>
  <si>
    <t>Create characteristic with non-existent attributeId</t>
  </si>
  <si>
    <t xml:space="preserve">
{
  "petId": 1,
  "attributeId": 99999,
  "optionId": 5,
  "value": null
}</t>
  </si>
  <si>
    <t xml:space="preserve">
{
  "status": 404,
  "message": "Không tìm thấy thuộc tính."
}</t>
  </si>
  <si>
    <t>UC-PC-2.1-TC-5</t>
  </si>
  <si>
    <t>Create characteristic with invalid optionId for attribute</t>
  </si>
  <si>
    <t xml:space="preserve">
{
  "petId": 1,
  "attributeId": 1,
  "optionId": 99999,
  "value": null
}</t>
  </si>
  <si>
    <t xml:space="preserve">
{
  "status": 400,
  "message": "Option không hợp lệ cho thuộc tính này."
}</t>
  </si>
  <si>
    <t>UC-PC-2.1-TC-6</t>
  </si>
  <si>
    <t>Create characteristic with both optionId and value</t>
  </si>
  <si>
    <t xml:space="preserve">
{
  "petId": 1,
  "attributeId": 1,
  "optionId": 5,
  "value": 10
}</t>
  </si>
  <si>
    <t xml:space="preserve">
{
  "status": 400,
  "message": "Chỉ được cung cấp optionId hoặc value, không được cả hai."
}</t>
  </si>
  <si>
    <t>UC-PC-2.1-TC-7</t>
  </si>
  <si>
    <t>Create characteristic with neither optionId nor value</t>
  </si>
  <si>
    <t xml:space="preserve">
{
  "petId": 1,
  "attributeId": 1,
  "optionId": null,
  "value": null
}</t>
  </si>
  <si>
    <t xml:space="preserve">
{
  "status": 400,
  "message": "Phải cung cấp optionId hoặc value."
}</t>
  </si>
  <si>
    <t>UC-PC-2.1-TC-8</t>
  </si>
  <si>
    <t>Create duplicate characteristic</t>
  </si>
  <si>
    <t xml:space="preserve">
{
  "status": 400,
  "message": "Đặc điểm này đã tồn tại cho thú cưng."
}</t>
  </si>
  <si>
    <t>UC-PC-2.1-TC-9</t>
  </si>
  <si>
    <t>Create characteristic with invalid petId (negative)</t>
  </si>
  <si>
    <t xml:space="preserve">
{
  "petId": -1,
  "attributeId": 1,
  "optionId": 5,
  "value": null
}</t>
  </si>
  <si>
    <t>UC-PC-2.1-TC-10</t>
  </si>
  <si>
    <t>Create characteristic with invalid attributeId (negative)</t>
  </si>
  <si>
    <t xml:space="preserve">
{
  "petId": 1,
  "attributeId": -1,
  "optionId": 5,
  "value": null
}</t>
  </si>
  <si>
    <t>UC-PC-2.1-TC-11</t>
  </si>
  <si>
    <t>Create characteristic with negative value</t>
  </si>
  <si>
    <t xml:space="preserve">
{
  "petId": 1,
  "attributeId": 2,
  "optionId": null,
  "value": -5
}</t>
  </si>
  <si>
    <t xml:space="preserve">
{
  "status": 400,
  "message": "Giá trị không được âm."
}</t>
  </si>
  <si>
    <t>UC-PC-2.1-TC-12</t>
  </si>
  <si>
    <t>Create characteristic with zero value</t>
  </si>
  <si>
    <t xml:space="preserve">
{
  "petId": 1,
  "attributeId": 2,
  "optionId": null,
  "value": 0
}</t>
  </si>
  <si>
    <t>UC-PC-2.1-TC-13</t>
  </si>
  <si>
    <t>Create characteristic requiring optionId but providing value</t>
  </si>
  <si>
    <t xml:space="preserve">
{
  "petId": 1,
  "attributeId": 1,
  "optionId": null,
  "value": 10
}</t>
  </si>
  <si>
    <t xml:space="preserve">
{
  "status": 400,
  "message": "Thuộc tính này yêu cầu optionId."
}</t>
  </si>
  <si>
    <t>UC-PC-2.1-TC-14</t>
  </si>
  <si>
    <t>Create characteristic requiring value but providing optionId</t>
  </si>
  <si>
    <t xml:space="preserve">
{
  "petId": 1,
  "attributeId": 2,
  "optionId": 5,
  "value": null
}</t>
  </si>
  <si>
    <t xml:space="preserve">
{
  "status": 400,
  "message": "Thuộc tính này yêu cầu value."
}</t>
  </si>
  <si>
    <t>UC-PC-3.1-TC-1</t>
  </si>
  <si>
    <t>Update characteristic with valid optionId</t>
  </si>
  <si>
    <t xml:space="preserve">
{
  "petId": 1,
  "attributeId": 1,
  "optionId": 6,
  "value": null
}</t>
  </si>
  <si>
    <t xml:space="preserve">
{
  "status": 200,
  "message": "Cập nhật đặc điểm thành công."
}</t>
  </si>
  <si>
    <t>UC-PC-3.1-TC-2</t>
  </si>
  <si>
    <t>Update characteristic with valid value</t>
  </si>
  <si>
    <t xml:space="preserve">
{
  "petId": 1,
  "attributeId": 2,
  "optionId": null,
  "value": 20.5
}</t>
  </si>
  <si>
    <t>UC-PC-3.1-TC-3</t>
  </si>
  <si>
    <t>Update characteristic with non-existent petId</t>
  </si>
  <si>
    <t xml:space="preserve">
{
  "petId": 99999,
  "attributeId": 1,
  "optionId": 6,
  "value": null
}</t>
  </si>
  <si>
    <t>UC-PC-3.1-TC-4</t>
  </si>
  <si>
    <t>Update characteristic with non-existent attributeId</t>
  </si>
  <si>
    <t xml:space="preserve">
{
  "petId": 1,
  "attributeId": 99999,
  "optionId": 6,
  "value": null
}</t>
  </si>
  <si>
    <t>UC-PC-3.1-TC-5</t>
  </si>
  <si>
    <t>Update non-existent characteristic</t>
  </si>
  <si>
    <t xml:space="preserve">
{
  "petId": 1,
  "attributeId": 5,
  "optionId": 6,
  "value": null
}</t>
  </si>
  <si>
    <t xml:space="preserve">
{
  "status": 404,
  "message": "Không tìm thấy đặc điểm để cập nhật."
}</t>
  </si>
  <si>
    <t>UC-PC-3.1-TC-6</t>
  </si>
  <si>
    <t>Update characteristic with invalid optionId</t>
  </si>
  <si>
    <t>UC-PC-3.1-TC-7</t>
  </si>
  <si>
    <t>Update characteristic with both optionId and value</t>
  </si>
  <si>
    <t xml:space="preserve">
{
  "petId": 1,
  "attributeId": 1,
  "optionId": 6,
  "value": 10
}</t>
  </si>
  <si>
    <t>UC-PC-3.1-TC-8</t>
  </si>
  <si>
    <t>Update characteristic with neither optionId nor value</t>
  </si>
  <si>
    <t>UC-PC-3.1-TC-9</t>
  </si>
  <si>
    <t>Update characteristic with invalid petId (negative)</t>
  </si>
  <si>
    <t xml:space="preserve">
{
  "petId": -1,
  "attributeId": 1,
  "optionId": 6,
  "value": null
}</t>
  </si>
  <si>
    <t>UC-PC-3.1-TC-10</t>
  </si>
  <si>
    <t>Update characteristic with invalid attributeId (negative)</t>
  </si>
  <si>
    <t xml:space="preserve">
{
  "petId": 1,
  "attributeId": -1,
  "optionId": 6,
  "value": null
}</t>
  </si>
  <si>
    <t>UC-PC-3.1-TC-11</t>
  </si>
  <si>
    <t>Update characteristic with negative value</t>
  </si>
  <si>
    <t xml:space="preserve">
{
  "petId": 1,
  "attributeId": 2,
  "optionId": null,
  "value": -10
}</t>
  </si>
  <si>
    <t>UC-PC-3.1-TC-12</t>
  </si>
  <si>
    <t>Update characteristic with zero value</t>
  </si>
  <si>
    <t>UC-PC-3.1-TC-13</t>
  </si>
  <si>
    <t>Update characteristic from optionId to different optionId</t>
  </si>
  <si>
    <t xml:space="preserve">
{
  "petId": 1,
  "attributeId": 1,
  "optionId": 7,
  "value": null
}</t>
  </si>
  <si>
    <t>UC-PC-3.1-TC-14</t>
  </si>
  <si>
    <t>Update characteristic from value to different value</t>
  </si>
  <si>
    <t xml:space="preserve">
{
  "petId": 1,
  "attributeId": 2,
  "optionId": null,
  "value": 25.0
}</t>
  </si>
  <si>
    <t>UC-PP-1.1-TC-1</t>
  </si>
  <si>
    <t>Get photos by valid petId with existing photos</t>
  </si>
  <si>
    <t xml:space="preserve">
{
  "status": 200,
  "message": "Lấy danh sách ảnh thành công."
}</t>
  </si>
  <si>
    <t>UC-PP-1.1-TC-2</t>
  </si>
  <si>
    <t>Get photos by valid petId with no photos</t>
  </si>
  <si>
    <t xml:space="preserve">
{
  "status": 200,
  "message": "Lấy danh sách ảnh thành công.",
  "data": []
}</t>
  </si>
  <si>
    <t>UC-PP-1.1-TC-3</t>
  </si>
  <si>
    <t>Get photos by non-existent petId</t>
  </si>
  <si>
    <t>UC-PP-1.1-TC-4</t>
  </si>
  <si>
    <t>Get photos by invalid petId (negative)</t>
  </si>
  <si>
    <t>UC-PP-1.1-TC-5</t>
  </si>
  <si>
    <t>Get photos by petId zero</t>
  </si>
  <si>
    <t>UC-PP-1.1-TC-6</t>
  </si>
  <si>
    <t>Get photos sorted by sortOrder</t>
  </si>
  <si>
    <t>UC-PP-1.1-TC-7</t>
  </si>
  <si>
    <t>Get photos excluding deleted photos</t>
  </si>
  <si>
    <t>UC-PP-2.1-TC-1</t>
  </si>
  <si>
    <t>Upload single valid photo</t>
  </si>
  <si>
    <t xml:space="preserve">
{
  "petId": 1,
  "files": [
    {"file": "pet1.jpg", "contentType": "image/jpeg", "size": 2048000}
  ]
}</t>
  </si>
  <si>
    <t xml:space="preserve">
{
  "status": 200,
  "message": "Tải ảnh thành công."
}</t>
  </si>
  <si>
    <t>UC-PP-2.1-TC-2</t>
  </si>
  <si>
    <t>Upload multiple valid photos</t>
  </si>
  <si>
    <t xml:space="preserve">
{
  "petId": 1,
  "files": [
    {"file": "pet1.jpg", "contentType": "image/jpeg", "size": 2048000},
    {"file": "pet2.png", "contentType": "image/png", "size": 1536000},
    {"file": "pet3.jpg", "contentType": "image/jpeg", "size": 2560000}
  ]
}</t>
  </si>
  <si>
    <t>UC-PP-2.1-TC-3</t>
  </si>
  <si>
    <t>Upload photos with non-existent petId</t>
  </si>
  <si>
    <t xml:space="preserve">
{
  "petId": 99999,
  "files": [
    {"file": "pet1.jpg", "contentType": "image/jpeg", "size": 2048000}
  ]
}</t>
  </si>
  <si>
    <t>UC-PP-2.1-TC-4</t>
  </si>
  <si>
    <t>Upload photos with invalid petId (negative)</t>
  </si>
  <si>
    <t xml:space="preserve">
{
  "petId": -1,
  "files": [
    {"file": "pet1.jpg", "contentType": "image/jpeg", "size": 2048000}
  ]
}</t>
  </si>
  <si>
    <t>UC-PP-2.1-TC-5</t>
  </si>
  <si>
    <t>Upload photos with no files</t>
  </si>
  <si>
    <t xml:space="preserve">
{
  "petId": 1,
  "files": []
}</t>
  </si>
  <si>
    <t xml:space="preserve">
{
  "status": 400,
  "message": "Vui lòng chọn ít nhất một file ảnh."
}</t>
  </si>
  <si>
    <t>UC-PP-2.1-TC-6</t>
  </si>
  <si>
    <t>Upload photos with null files</t>
  </si>
  <si>
    <t xml:space="preserve">
{
  "petId": 1,
  "files": null
}</t>
  </si>
  <si>
    <t>UC-PP-2.1-TC-7</t>
  </si>
  <si>
    <t>Upload photo with invalid file type</t>
  </si>
  <si>
    <t xml:space="preserve">
{
  "petId": 1,
  "files": [
    {"file": "document.pdf", "contentType": "application/pdf", "size": 1024000}
  ]
}</t>
  </si>
  <si>
    <t xml:space="preserve">
{
  "status": 400,
  "message": "Chỉ chấp nhận file ảnh."
}</t>
  </si>
  <si>
    <t>UC-PP-2.1-TC-8</t>
  </si>
  <si>
    <t>Upload photo exceeding size limit</t>
  </si>
  <si>
    <t xml:space="preserve">
{
  "petId": 1,
  "files": [
    {"file": "large.jpg", "contentType": "image/jpeg", "size": 21000000}
  ]
}</t>
  </si>
  <si>
    <t xml:space="preserve">
{
  "status": 400,
  "message": "Kích thước file vượt quá giới hạn cho phép."
}</t>
  </si>
  <si>
    <t>UC-PP-2.1-TC-9</t>
  </si>
  <si>
    <t>Upload photos exceeding maximum count</t>
  </si>
  <si>
    <t xml:space="preserve">
{
  "petId": 1,
  "files": [
    {"file": "pet1.jpg"}, {"file": "pet2.jpg"}, {"file": "pet3.jpg"},
    {"file": "pet4.jpg"}, {"file": "pet5.jpg"}, {"file": "pet6.jpg"},
    {"file": "pet7.jpg"}, {"file": "pet8.jpg"}, {"file": "pet9.jpg"}
  ]
}</t>
  </si>
  <si>
    <t xml:space="preserve">
{
  "status": 400,
  "message": "Số lượng ảnh vượt quá giới hạn cho phép."
}</t>
  </si>
  <si>
    <t>UC-PP-2.1-TC-10</t>
  </si>
  <si>
    <t>Upload first photo for pet (sets as primary)</t>
  </si>
  <si>
    <t xml:space="preserve">
{
  "petId": 5,
  "files": [
    {"file": "first.jpg", "contentType": "image/jpeg", "size": 2048000}
  ]
}</t>
  </si>
  <si>
    <t xml:space="preserve">
{
  "status": 200,
  "message": "Tải ảnh thành công.",
  "isPrimary": true
}</t>
  </si>
  <si>
    <t>UC-PP-2.1-TC-11</t>
  </si>
  <si>
    <t>Upload photos with mixed valid and invalid types</t>
  </si>
  <si>
    <t xml:space="preserve">
{
  "petId": 1,
  "files": [
    {"file": "pet1.jpg", "contentType": "image/jpeg", "size": 2048000},
    {"file": "doc.pdf", "contentType": "application/pdf", "size": 1024000}
  ]
}</t>
  </si>
  <si>
    <t xml:space="preserve">
{
  "status": 400,
  "message": "Một số file không hợp lệ."
}</t>
  </si>
  <si>
    <t>UC-PP-2.1-TC-12</t>
  </si>
  <si>
    <t>Upload empty file</t>
  </si>
  <si>
    <t xml:space="preserve">
{
  "petId": 1,
  "files": [
    {"file": "empty.jpg", "contentType": "image/jpeg", "size": 0}
  ]
}</t>
  </si>
  <si>
    <t xml:space="preserve">
{
  "status": 400,
  "message": "File không được rỗng."
}</t>
  </si>
  <si>
    <t>UC-PP-3.1-TC-1</t>
  </si>
  <si>
    <t>Reorder photos with valid data</t>
  </si>
  <si>
    <t xml:space="preserve">
{
  "items": [
    {"photoId": 1, "sortOrder": 2},
    {"photoId": 2, "sortOrder": 1},
    {"photoId": 3, "sortOrder": 3}
  ]
}</t>
  </si>
  <si>
    <t xml:space="preserve">
{
  "status": 200,
  "message": "Cập nhật thứ tự ảnh thành công."
}</t>
  </si>
  <si>
    <t>UC-PP-3.1-TC-2</t>
  </si>
  <si>
    <t>Reorder photos with empty list</t>
  </si>
  <si>
    <t xml:space="preserve">
{
  "items": []
}</t>
  </si>
  <si>
    <t xml:space="preserve">
{
  "status": 400,
  "message": "Danh sách không được rỗng."
}</t>
  </si>
  <si>
    <t>UC-PP-3.1-TC-3</t>
  </si>
  <si>
    <t>Reorder photos with null list</t>
  </si>
  <si>
    <t xml:space="preserve">
{
  "items": null
}</t>
  </si>
  <si>
    <t>UC-PP-3.1-TC-4</t>
  </si>
  <si>
    <t>Reorder photos with non-existent photoId</t>
  </si>
  <si>
    <t xml:space="preserve">
{
  "items": [
    {"photoId": 99999, "sortOrder": 1}
  ]
}</t>
  </si>
  <si>
    <t xml:space="preserve">
{
  "status": 404,
  "message": "Không tìm thấy ảnh với ID 99999."
}</t>
  </si>
  <si>
    <t>UC-PP-3.1-TC-5</t>
  </si>
  <si>
    <t>Reorder photos with invalid photoId (negative)</t>
  </si>
  <si>
    <t xml:space="preserve">
{
  "items": [
    {"photoId": -1, "sortOrder": 1}
  ]
}</t>
  </si>
  <si>
    <t xml:space="preserve">
{
  "status": 404,
  "message": "Không tìm thấy ảnh với ID -1."
}</t>
  </si>
  <si>
    <t>UC-PP-3.1-TC-6</t>
  </si>
  <si>
    <t>Reorder photos with duplicate photoIds</t>
  </si>
  <si>
    <t xml:space="preserve">
{
  "items": [
    {"photoId": 1, "sortOrder": 1},
    {"photoId": 1, "sortOrder": 2}
  ]
}</t>
  </si>
  <si>
    <t xml:space="preserve">
{
  "status": 400,
  "message": "Danh sách chứa photoId trùng lặp."
}</t>
  </si>
  <si>
    <t>UC-PP-3.1-TC-7</t>
  </si>
  <si>
    <t>Reorder photos with negative sortOrder</t>
  </si>
  <si>
    <t xml:space="preserve">
{
  "items": [
    {"photoId": 1, "sortOrder": -1}
  ]
}</t>
  </si>
  <si>
    <t xml:space="preserve">
{
  "status": 400,
  "message": "SortOrder phải lớn hơn hoặc bằng 0."
}</t>
  </si>
  <si>
    <t>UC-PP-3.1-TC-8</t>
  </si>
  <si>
    <t>Reorder photos from different pets</t>
  </si>
  <si>
    <t xml:space="preserve">
{
  "items": [
    {"photoId": 1, "sortOrder": 1},
    {"photoId": 10, "sortOrder": 2}
  ]
}</t>
  </si>
  <si>
    <t xml:space="preserve">
{
  "status": 400,
  "message": "Tất cả ảnh phải thuộc cùng một thú cưng."
}</t>
  </si>
  <si>
    <t>UC-PP-3.1-TC-9</t>
  </si>
  <si>
    <t>Reorder single photo</t>
  </si>
  <si>
    <t xml:space="preserve">
{
  "items": [
    {"photoId": 1, "sortOrder": 1}
  ]
}</t>
  </si>
  <si>
    <t>UC-PP-4.1-TC-1</t>
  </si>
  <si>
    <t>Soft delete photo with valid photoId</t>
  </si>
  <si>
    <t xml:space="preserve">
{
  "photoId": 1,
  "hard": false
}</t>
  </si>
  <si>
    <t xml:space="preserve">
{
  "status": 200,
  "message": "Xóa ảnh thành công."
}</t>
  </si>
  <si>
    <t>UC-PP-4.1-TC-2</t>
  </si>
  <si>
    <t>Hard delete photo with valid photoId</t>
  </si>
  <si>
    <t xml:space="preserve">
{
  "photoId": 2,
  "hard": true
}</t>
  </si>
  <si>
    <t>UC-PP-4.1-TC-3</t>
  </si>
  <si>
    <t>Delete photo with non-existent photoId</t>
  </si>
  <si>
    <t xml:space="preserve">
{
  "photoId": 99999,
  "hard": false
}</t>
  </si>
  <si>
    <t xml:space="preserve">
{
  "status": 404,
  "message": "Không tìm thấy ảnh."
}</t>
  </si>
  <si>
    <t>UC-PP-4.1-TC-4</t>
  </si>
  <si>
    <t>Delete photo with invalid photoId (negative)</t>
  </si>
  <si>
    <t xml:space="preserve">
{
  "photoId": -1,
  "hard": false
}</t>
  </si>
  <si>
    <t>UC-PP-4.1-TC-5</t>
  </si>
  <si>
    <t>Delete photo with photoId zero</t>
  </si>
  <si>
    <t xml:space="preserve">
{
  "photoId": 0,
  "hard": false
}</t>
  </si>
  <si>
    <t>UC-PP-4.1-TC-6</t>
  </si>
  <si>
    <t>Delete primary photo</t>
  </si>
  <si>
    <t>UC-PP-4.1-TC-7</t>
  </si>
  <si>
    <t>Delete already deleted photo (soft)</t>
  </si>
  <si>
    <t xml:space="preserve">
{
  "photoId": 5,
  "hard": false
}</t>
  </si>
  <si>
    <t>UC-PP-4.1-TC-8</t>
  </si>
  <si>
    <t>Delete last photo of pet</t>
  </si>
  <si>
    <t xml:space="preserve">
{
  "photoId": 20,
  "hard": false
}</t>
  </si>
  <si>
    <t>UC-PP-4.1-TC-9</t>
  </si>
  <si>
    <t>Delete without hard parameter (defaults to soft)</t>
  </si>
  <si>
    <t xml:space="preserve">
{
  "photoId": 3
}</t>
  </si>
  <si>
    <t>UC-PR-1.1-TC-1</t>
  </si>
  <si>
    <t>Recommend pets with valid userId having preferences</t>
  </si>
  <si>
    <t xml:space="preserve">
{
  "status": 200,
  "message": "Lấy danh sách gợi ý thành công."
}</t>
  </si>
  <si>
    <t>UC-PR-1.1-TC-2</t>
  </si>
  <si>
    <t>Recommend pets with valid userId without preferences</t>
  </si>
  <si>
    <t xml:space="preserve">
{
  "status": 200,
  "message": "Lấy danh sách gợi ý thành công.",
  "data": []
}</t>
  </si>
  <si>
    <t>UC-PR-1.1-TC-3</t>
  </si>
  <si>
    <t>Recommend pets with non-existent userId</t>
  </si>
  <si>
    <t xml:space="preserve">
{
  "status": 404,
  "message": "Không tìm thấy người dùng."
}</t>
  </si>
  <si>
    <t>UC-PR-1.1-TC-4</t>
  </si>
  <si>
    <t>Recommend pets with invalid userId (negative)</t>
  </si>
  <si>
    <t>UC-PR-1.1-TC-5</t>
  </si>
  <si>
    <t>Recommend pets with userId zero</t>
  </si>
  <si>
    <t>UC-PR-1.1-TC-6</t>
  </si>
  <si>
    <t>Recommend pets with user having no active pets</t>
  </si>
  <si>
    <t>UC-PR-1.1-TC-7</t>
  </si>
  <si>
    <t>Recommend pets with user having distance preference</t>
  </si>
  <si>
    <t>UC-PR-1.1-TC-8</t>
  </si>
  <si>
    <t>Recommend pets excluding already matched pets</t>
  </si>
  <si>
    <t>UC-PR-1.1-TC-9</t>
  </si>
  <si>
    <t>Recommend pets excluding blocked users</t>
  </si>
  <si>
    <t>UC-PR-1.1-TC-10</t>
  </si>
  <si>
    <t>Recommend pets with no available pets matching preferences</t>
  </si>
  <si>
    <t>UC-PR-1.1-TC-11</t>
  </si>
  <si>
    <t>Recommend pets with user having multiple preferences</t>
  </si>
  <si>
    <t xml:space="preserve">
{
  "userId": 5
}</t>
  </si>
  <si>
    <t>UC-PR-1.1-TC-12</t>
  </si>
  <si>
    <t>Recommend pets with user in location without address</t>
  </si>
  <si>
    <t xml:space="preserve">
{
  "userId": 6
}</t>
  </si>
  <si>
    <t>UC-PR-1.1-TC-13</t>
  </si>
  <si>
    <t>Recommend pets with all pets already matched</t>
  </si>
  <si>
    <t xml:space="preserve">
{
  "userId": 7
}</t>
  </si>
  <si>
    <t>UC-PR-1.1-TC-14</t>
  </si>
  <si>
    <t>Recommend pets with inactive pets excluded</t>
  </si>
  <si>
    <t>UC-PR-1.1-TC-15</t>
  </si>
  <si>
    <t>Recommend pets with deleted pets excluded</t>
  </si>
  <si>
    <t>UC-PR-1.1-TC-16</t>
  </si>
  <si>
    <t>Recommend pets sorted by matching score</t>
  </si>
  <si>
    <t>UC-PR-1.1-TC-17</t>
  </si>
  <si>
    <t>Recommend pets with specific breed preference</t>
  </si>
  <si>
    <t xml:space="preserve">
{
  "userId": 8
}</t>
  </si>
  <si>
    <t>UC-PR-1.1-TC-18</t>
  </si>
  <si>
    <t>Recommend pets with age range preference</t>
  </si>
  <si>
    <t xml:space="preserve">
{
  "userId": 9
}</t>
  </si>
  <si>
    <t>UC-PR-1.1-TC-19</t>
  </si>
  <si>
    <t>Recommend pets with weight range preference</t>
  </si>
  <si>
    <t xml:space="preserve">
{
  "userId": 10
}</t>
  </si>
  <si>
    <t>UC-PR-1.1-TC-20</t>
  </si>
  <si>
    <t>Recommend pets with gender preference</t>
  </si>
  <si>
    <t xml:space="preserve">
{
  "userId": 11
}</t>
  </si>
  <si>
    <t>UC-PR-1.1-TC-21</t>
  </si>
  <si>
    <t>Recommend pets within maximum distance preference</t>
  </si>
  <si>
    <t xml:space="preserve">
{
  "userId": 12
}</t>
  </si>
  <si>
    <t>UC-PR-1.1-TC-22</t>
  </si>
  <si>
    <t>Recommend pets excluding user's own pets</t>
  </si>
  <si>
    <t>UC-PR-1.1-TC-23</t>
  </si>
  <si>
    <t>Recommend pets with high matching percentage</t>
  </si>
  <si>
    <t xml:space="preserve">
{
  "userId": 13
}</t>
  </si>
  <si>
    <t>UC-PR-1.1-TC-24</t>
  </si>
  <si>
    <t>Recommend pets with low matching percentage</t>
  </si>
  <si>
    <t xml:space="preserve">
{
  "userId": 14
}</t>
  </si>
  <si>
    <t>UC-PR-1.1-TC-25</t>
  </si>
  <si>
    <t>Recommend pets with empty result due to strict preferences</t>
  </si>
  <si>
    <t xml:space="preserve">
{
  "userId": 15
}</t>
  </si>
  <si>
    <t>UC-R-1.1-TC-1</t>
  </si>
  <si>
    <t>Get all reports successfully</t>
  </si>
  <si>
    <t xml:space="preserve">
{
}</t>
  </si>
  <si>
    <t xml:space="preserve">
{
  "status": 200,
  "message": "Lấy danh sách báo cáo thành công."
}</t>
  </si>
  <si>
    <t>UC-R-1.1-TC-2</t>
  </si>
  <si>
    <t>Get all reports when no reports exist</t>
  </si>
  <si>
    <t xml:space="preserve">
{
  "status": 200,
  "message": "Lấy danh sách báo cáo thành công.",
  "data": []
}</t>
  </si>
  <si>
    <t>UC-R-1.1-TC-3</t>
  </si>
  <si>
    <t>Get all reports with server error</t>
  </si>
  <si>
    <t xml:space="preserve">
{
  "status": 500,
  "message": "Đã xảy ra lỗi khi lấy danh sách báo cáo."
}</t>
  </si>
  <si>
    <t>UC-R-2.1-TC-1</t>
  </si>
  <si>
    <t>Get report by valid reportId</t>
  </si>
  <si>
    <t xml:space="preserve">
{
  "reportId": 1
}</t>
  </si>
  <si>
    <t xml:space="preserve">
{
  "status": 200,
  "message": "Lấy thông tin báo cáo thành công."
}</t>
  </si>
  <si>
    <t>UC-R-2.1-TC-2</t>
  </si>
  <si>
    <t>Get report by non-existent reportId</t>
  </si>
  <si>
    <t xml:space="preserve">
{
  "reportId": 99999
}</t>
  </si>
  <si>
    <t xml:space="preserve">
{
  "status": 404,
  "message": "Không tìm thấy báo cáo với ID = 99999."
}</t>
  </si>
  <si>
    <t>UC-R-2.1-TC-3</t>
  </si>
  <si>
    <t>Get report by invalid reportId (negative)</t>
  </si>
  <si>
    <t xml:space="preserve">
{
  "reportId": -1
}</t>
  </si>
  <si>
    <t xml:space="preserve">
{
  "status": 404,
  "message": "Không tìm thấy báo cáo với ID = -1."
}</t>
  </si>
  <si>
    <t>UC-R-2.1-TC-4</t>
  </si>
  <si>
    <t>Get report by reportId zero</t>
  </si>
  <si>
    <t xml:space="preserve">
{
  "reportId": 0
}</t>
  </si>
  <si>
    <t xml:space="preserve">
{
  "status": 404,
  "message": "Không tìm thấy báo cáo với ID = 0."
}</t>
  </si>
  <si>
    <t>UC-R-3.1-TC-1</t>
  </si>
  <si>
    <t>Get reports by valid userId with existing reports</t>
  </si>
  <si>
    <t xml:space="preserve">
{
  "userReportId": 1
}</t>
  </si>
  <si>
    <t>UC-R-3.1-TC-2</t>
  </si>
  <si>
    <t>Get reports by valid userId with no reports</t>
  </si>
  <si>
    <t xml:space="preserve">
{
  "userReportId": 2
}</t>
  </si>
  <si>
    <t xml:space="preserve">
{
  "status": 200,
  "message": "Bạn chưa gửi báo cáo nào.",
  "data": []
}</t>
  </si>
  <si>
    <t>UC-R-3.1-TC-3</t>
  </si>
  <si>
    <t>Get reports by non-existent userId</t>
  </si>
  <si>
    <t xml:space="preserve">
{
  "userReportId": 99999
}</t>
  </si>
  <si>
    <t>UC-R-3.1-TC-4</t>
  </si>
  <si>
    <t>Get reports by invalid userId (negative)</t>
  </si>
  <si>
    <t xml:space="preserve">
{
  "userReportId": -1
}</t>
  </si>
  <si>
    <t>UC-R-3.1-TC-5</t>
  </si>
  <si>
    <t>Get reports by userId zero</t>
  </si>
  <si>
    <t xml:space="preserve">
{
  "userReportId": 0
}</t>
  </si>
  <si>
    <t>UC-R-4.1-TC-1</t>
  </si>
  <si>
    <t>Create report with valid data</t>
  </si>
  <si>
    <t xml:space="preserve">
{
  "userReportId": 1,
  "contentId": 10,
  "reason": "Nội dung không phù hợp"
}</t>
  </si>
  <si>
    <t xml:space="preserve">
{
  "status": 201,
  "message": "Tạo báo cáo thành công."
}</t>
  </si>
  <si>
    <t>UC-R-4.1-TC-2</t>
  </si>
  <si>
    <t>Create report with missing reason</t>
  </si>
  <si>
    <t xml:space="preserve">
{
  "userReportId": 1,
  "contentId": 10,
  "reason": null
}</t>
  </si>
  <si>
    <t xml:space="preserve">
{
  "status": 400,
  "message": "Reason là bắt buộc."
}</t>
  </si>
  <si>
    <t>UC-R-4.1-TC-3</t>
  </si>
  <si>
    <t>Create report with empty reason</t>
  </si>
  <si>
    <t xml:space="preserve">
{
  "userReportId": 1,
  "contentId": 10,
  "reason": ""
}</t>
  </si>
  <si>
    <t xml:space="preserve">
{
  "status": 400,
  "message": "Reason không được để trống."
}</t>
  </si>
  <si>
    <t>UC-R-4.1-TC-4</t>
  </si>
  <si>
    <t>Create report with non-existent userReportId</t>
  </si>
  <si>
    <t xml:space="preserve">
{
  "userReportId": 99999,
  "contentId": 10,
  "reason": "Nội dung không phù hợp"
}</t>
  </si>
  <si>
    <t>UC-R-4.1-TC-5</t>
  </si>
  <si>
    <t>Create report with non-existent contentId</t>
  </si>
  <si>
    <t xml:space="preserve">
{
  "userReportId": 1,
  "contentId": 99999,
  "reason": "Nội dung không phù hợp"
}</t>
  </si>
  <si>
    <t xml:space="preserve">
{
  "status": 404,
  "message": "Không tìm thấy nội dung."
}</t>
  </si>
  <si>
    <t>UC-R-4.1-TC-6</t>
  </si>
  <si>
    <t>Create report with invalid userReportId (negative)</t>
  </si>
  <si>
    <t xml:space="preserve">
{
  "userReportId": -1,
  "contentId": 10,
  "reason": "Nội dung không phù hợp"
}</t>
  </si>
  <si>
    <t>UC-R-4.1-TC-7</t>
  </si>
  <si>
    <t>Create report with invalid contentId (negative)</t>
  </si>
  <si>
    <t xml:space="preserve">
{
  "userReportId": 1,
  "contentId": -1,
  "reason": "Nội dung không phù hợp"
}</t>
  </si>
  <si>
    <t>UC-R-4.1-TC-8</t>
  </si>
  <si>
    <t>Create duplicate report for same content</t>
  </si>
  <si>
    <t xml:space="preserve">
{
  "userReportId": 1,
  "contentId": 10,
  "reason": "Báo cáo lần 2"
}</t>
  </si>
  <si>
    <t xml:space="preserve">
{
  "status": 400,
  "message": "Bạn đã báo cáo nội dung này trước đó."
}</t>
  </si>
  <si>
    <t>UC-R-5.1-TC-1</t>
  </si>
  <si>
    <t>Update report with valid status</t>
  </si>
  <si>
    <t xml:space="preserve">
{
  "reportId": 1,
  "status": "RESOLVED",
  "resolution": null
}</t>
  </si>
  <si>
    <t xml:space="preserve">
{
  "status": 200,
  "message": "Cập nhật báo cáo thành công."
}</t>
  </si>
  <si>
    <t>UC-R-5.1-TC-2</t>
  </si>
  <si>
    <t>Update report with valid resolution</t>
  </si>
  <si>
    <t xml:space="preserve">
{
  "reportId": 1,
  "status": null,
  "resolution": "Đã xử lý và xóa nội dung vi phạm"
}</t>
  </si>
  <si>
    <t>UC-R-5.1-TC-3</t>
  </si>
  <si>
    <t>Update report with both status and resolution</t>
  </si>
  <si>
    <t xml:space="preserve">
{
  "reportId": 1,
  "status": "RESOLVED",
  "resolution": "Đã xử lý và cảnh cáo người dùng"
}</t>
  </si>
  <si>
    <t>UC-R-5.1-TC-4</t>
  </si>
  <si>
    <t>Update report with non-existent reportId</t>
  </si>
  <si>
    <t xml:space="preserve">
{
  "reportId": 99999,
  "status": "RESOLVED",
  "resolution": null
}</t>
  </si>
  <si>
    <t xml:space="preserve">
{
  "status": 404,
  "message": "Không tìm thấy báo cáo."
}</t>
  </si>
  <si>
    <t>UC-R-5.1-TC-5</t>
  </si>
  <si>
    <t>Update report with invalid reportId (negative)</t>
  </si>
  <si>
    <t xml:space="preserve">
{
  "reportId": -1,
  "status": "RESOLVED",
  "resolution": null
}</t>
  </si>
  <si>
    <t>UC-R-5.1-TC-6</t>
  </si>
  <si>
    <t>Update report with reportId zero</t>
  </si>
  <si>
    <t xml:space="preserve">
{
  "reportId": 0,
  "status": "RESOLVED",
  "resolution": null
}</t>
  </si>
  <si>
    <t>UC-R-5.1-TC-7</t>
  </si>
  <si>
    <t>Update report with invalid status value</t>
  </si>
  <si>
    <t xml:space="preserve">
{
  "reportId": 1,
  "status": "INVALID_STATUS",
  "resolution": null
}</t>
  </si>
  <si>
    <t xml:space="preserve">
{
  "status": 400,
  "message": "Trạng thái không hợp lệ."
}</t>
  </si>
  <si>
    <t>UC-R-5.1-TC-8</t>
  </si>
  <si>
    <t>Update report with empty fields</t>
  </si>
  <si>
    <t xml:space="preserve">
{
  "reportId": 1,
  "status": null,
  "resolution": null
}</t>
  </si>
  <si>
    <t xml:space="preserve">
{
  "status": 400,
  "message": "Cần ít nhất một trường để cập nhật."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</si>
</sst>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56">
    <font>
      <sz val="11"/>
      <color rgb="FF000000"/>
      <name val="MS PGothic"/>
      <charset val="134"/>
      <scheme val="minor"/>
    </font>
    <font>
      <sz val="11"/>
      <color theme="1"/>
      <name val="Tahoma"/>
      <charset val="134"/>
    </font>
    <font>
      <b/>
      <sz val="10"/>
      <color theme="1"/>
      <name val="Tahoma"/>
      <charset val="134"/>
    </font>
    <font>
      <sz val="11"/>
      <name val="MS PGothic"/>
      <charset val="134"/>
      <scheme val="minor"/>
    </font>
    <font>
      <i/>
      <sz val="11"/>
      <color rgb="FF008000"/>
      <name val="Tahoma"/>
      <charset val="134"/>
    </font>
    <font>
      <b/>
      <sz val="11"/>
      <color rgb="FF000000"/>
      <name val="Tahoma"/>
      <charset val="134"/>
    </font>
    <font>
      <sz val="12"/>
      <color theme="1"/>
      <name val="Times New Roman"/>
      <charset val="134"/>
    </font>
    <font>
      <sz val="11"/>
      <color rgb="FF000000"/>
      <name val="Tahoma"/>
      <charset val="134"/>
    </font>
    <font>
      <b/>
      <sz val="10"/>
      <color rgb="FFFFFFFF"/>
      <name val="Tahoma"/>
      <charset val="134"/>
    </font>
    <font>
      <sz val="10"/>
      <color rgb="FF000000"/>
      <name val="Tahoma"/>
      <charset val="134"/>
    </font>
    <font>
      <sz val="11"/>
      <color theme="1"/>
      <name val="MS PGothic"/>
      <charset val="134"/>
    </font>
    <font>
      <sz val="10"/>
      <color theme="1"/>
      <name val="Tahoma"/>
      <charset val="134"/>
    </font>
    <font>
      <sz val="10"/>
      <color rgb="FFFF0000"/>
      <name val="Tahoma"/>
      <charset val="134"/>
    </font>
    <font>
      <b/>
      <sz val="10"/>
      <color rgb="FFFF0000"/>
      <name val="Tahoma"/>
      <charset val="134"/>
    </font>
    <font>
      <u/>
      <sz val="10"/>
      <color rgb="FF000000"/>
      <name val="Tahoma"/>
      <charset val="134"/>
    </font>
    <font>
      <b/>
      <sz val="11"/>
      <color theme="1"/>
      <name val="Tahoma"/>
      <charset val="134"/>
    </font>
    <font>
      <b/>
      <sz val="11"/>
      <color rgb="FF993300"/>
      <name val="Tahoma"/>
      <charset val="134"/>
    </font>
    <font>
      <i/>
      <sz val="11"/>
      <color rgb="FF000000"/>
      <name val="Tahoma"/>
      <charset val="134"/>
    </font>
    <font>
      <b/>
      <sz val="11"/>
      <color rgb="FFFFFFFF"/>
      <name val="Tahoma"/>
      <charset val="134"/>
    </font>
    <font>
      <u/>
      <sz val="11"/>
      <color rgb="FF0000FF"/>
      <name val="Tahoma"/>
      <charset val="134"/>
    </font>
    <font>
      <u/>
      <sz val="11"/>
      <color rgb="FF800080"/>
      <name val="Tahoma"/>
      <charset val="134"/>
    </font>
    <font>
      <sz val="11"/>
      <color rgb="FFFFFFFF"/>
      <name val="Tahoma"/>
      <charset val="134"/>
    </font>
    <font>
      <sz val="10"/>
      <color theme="1"/>
      <name val="Times New Roman"/>
      <charset val="134"/>
    </font>
    <font>
      <b/>
      <sz val="17"/>
      <color rgb="FF000000"/>
      <name val="Tahoma"/>
      <charset val="134"/>
    </font>
    <font>
      <b/>
      <sz val="13"/>
      <color rgb="FF993300"/>
      <name val="Tahoma"/>
      <charset val="134"/>
    </font>
    <font>
      <sz val="13"/>
      <color rgb="FF000000"/>
      <name val="Tahoma"/>
      <charset val="134"/>
    </font>
    <font>
      <b/>
      <sz val="10"/>
      <color rgb="FF993300"/>
      <name val="Times New Roman"/>
      <charset val="134"/>
    </font>
    <font>
      <b/>
      <sz val="10"/>
      <color theme="1"/>
      <name val="Times New Roman"/>
      <charset val="134"/>
    </font>
    <font>
      <u/>
      <sz val="11"/>
      <color rgb="FF0000FF"/>
      <name val="MS PGothic"/>
      <charset val="134"/>
      <scheme val="minor"/>
    </font>
    <font>
      <u/>
      <sz val="11"/>
      <color rgb="FF0000FF"/>
      <name val="MS PGothic"/>
      <charset val="134"/>
    </font>
    <font>
      <sz val="11"/>
      <color theme="1"/>
      <name val="Times New Roman"/>
      <charset val="134"/>
    </font>
    <font>
      <b/>
      <sz val="26"/>
      <color rgb="FFFF0000"/>
      <name val="Tahoma"/>
      <charset val="134"/>
    </font>
    <font>
      <b/>
      <sz val="20"/>
      <color rgb="FF000000"/>
      <name val="Tahoma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i/>
      <sz val="10"/>
      <color theme="1"/>
      <name val="Tahoma"/>
      <charset val="134"/>
    </font>
    <font>
      <sz val="11"/>
      <color theme="1"/>
      <name val="MS PGothic"/>
      <charset val="134"/>
      <scheme val="minor"/>
    </font>
    <font>
      <u/>
      <sz val="11"/>
      <color rgb="FF0000FF"/>
      <name val="MS PGothic"/>
      <charset val="0"/>
      <scheme val="minor"/>
    </font>
    <font>
      <u/>
      <sz val="11"/>
      <color rgb="FF800080"/>
      <name val="MS PGothic"/>
      <charset val="0"/>
      <scheme val="minor"/>
    </font>
    <font>
      <sz val="11"/>
      <color rgb="FFFF0000"/>
      <name val="MS PGothic"/>
      <charset val="0"/>
      <scheme val="minor"/>
    </font>
    <font>
      <b/>
      <sz val="18"/>
      <color theme="3"/>
      <name val="MS PGothic"/>
      <charset val="134"/>
      <scheme val="minor"/>
    </font>
    <font>
      <i/>
      <sz val="11"/>
      <color rgb="FF7F7F7F"/>
      <name val="MS PGothic"/>
      <charset val="0"/>
      <scheme val="minor"/>
    </font>
    <font>
      <b/>
      <sz val="15"/>
      <color theme="3"/>
      <name val="MS PGothic"/>
      <charset val="134"/>
      <scheme val="minor"/>
    </font>
    <font>
      <b/>
      <sz val="13"/>
      <color theme="3"/>
      <name val="MS PGothic"/>
      <charset val="134"/>
      <scheme val="minor"/>
    </font>
    <font>
      <b/>
      <sz val="11"/>
      <color theme="3"/>
      <name val="MS PGothic"/>
      <charset val="134"/>
      <scheme val="minor"/>
    </font>
    <font>
      <sz val="11"/>
      <color rgb="FF3F3F76"/>
      <name val="MS PGothic"/>
      <charset val="0"/>
      <scheme val="minor"/>
    </font>
    <font>
      <b/>
      <sz val="11"/>
      <color rgb="FF3F3F3F"/>
      <name val="MS PGothic"/>
      <charset val="0"/>
      <scheme val="minor"/>
    </font>
    <font>
      <b/>
      <sz val="11"/>
      <color rgb="FFFA7D00"/>
      <name val="MS PGothic"/>
      <charset val="0"/>
      <scheme val="minor"/>
    </font>
    <font>
      <b/>
      <sz val="11"/>
      <color rgb="FFFFFFFF"/>
      <name val="MS PGothic"/>
      <charset val="0"/>
      <scheme val="minor"/>
    </font>
    <font>
      <sz val="11"/>
      <color rgb="FFFA7D00"/>
      <name val="MS PGothic"/>
      <charset val="0"/>
      <scheme val="minor"/>
    </font>
    <font>
      <b/>
      <sz val="11"/>
      <color theme="1"/>
      <name val="MS PGothic"/>
      <charset val="0"/>
      <scheme val="minor"/>
    </font>
    <font>
      <sz val="11"/>
      <color rgb="FF006100"/>
      <name val="MS PGothic"/>
      <charset val="0"/>
      <scheme val="minor"/>
    </font>
    <font>
      <sz val="11"/>
      <color rgb="FF9C0006"/>
      <name val="MS PGothic"/>
      <charset val="0"/>
      <scheme val="minor"/>
    </font>
    <font>
      <sz val="11"/>
      <color rgb="FF9C6500"/>
      <name val="MS PGothic"/>
      <charset val="0"/>
      <scheme val="minor"/>
    </font>
    <font>
      <sz val="11"/>
      <color theme="0"/>
      <name val="MS PGothic"/>
      <charset val="0"/>
      <scheme val="minor"/>
    </font>
    <font>
      <sz val="11"/>
      <color theme="1"/>
      <name val="MS PGothic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6923C"/>
        <bgColor rgb="FF76923C"/>
      </patternFill>
    </fill>
    <fill>
      <patternFill patternType="solid">
        <fgColor rgb="FFF97316"/>
        <bgColor rgb="FFF97316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6" fillId="0" borderId="0" applyFont="0" applyFill="0" applyBorder="0" applyAlignment="0" applyProtection="0">
      <alignment vertical="center"/>
    </xf>
    <xf numFmtId="44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7" borderId="52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53" applyNumberFormat="0" applyFill="0" applyAlignment="0" applyProtection="0">
      <alignment vertical="center"/>
    </xf>
    <xf numFmtId="0" fontId="43" fillId="0" borderId="53" applyNumberFormat="0" applyFill="0" applyAlignment="0" applyProtection="0">
      <alignment vertical="center"/>
    </xf>
    <xf numFmtId="0" fontId="44" fillId="0" borderId="5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8" borderId="55" applyNumberFormat="0" applyAlignment="0" applyProtection="0">
      <alignment vertical="center"/>
    </xf>
    <xf numFmtId="0" fontId="46" fillId="9" borderId="56" applyNumberFormat="0" applyAlignment="0" applyProtection="0">
      <alignment vertical="center"/>
    </xf>
    <xf numFmtId="0" fontId="47" fillId="9" borderId="55" applyNumberFormat="0" applyAlignment="0" applyProtection="0">
      <alignment vertical="center"/>
    </xf>
    <xf numFmtId="0" fontId="48" fillId="10" borderId="57" applyNumberFormat="0" applyAlignment="0" applyProtection="0">
      <alignment vertical="center"/>
    </xf>
    <xf numFmtId="0" fontId="49" fillId="0" borderId="58" applyNumberFormat="0" applyFill="0" applyAlignment="0" applyProtection="0">
      <alignment vertical="center"/>
    </xf>
    <xf numFmtId="0" fontId="50" fillId="0" borderId="59" applyNumberFormat="0" applyFill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</cellStyleXfs>
  <cellXfs count="185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4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wrapText="1"/>
    </xf>
    <xf numFmtId="0" fontId="6" fillId="2" borderId="18" xfId="0" applyFont="1" applyFill="1" applyBorder="1" applyAlignment="1">
      <alignment horizont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vertical="center"/>
    </xf>
    <xf numFmtId="0" fontId="11" fillId="2" borderId="9" xfId="0" applyFont="1" applyFill="1" applyBorder="1" applyAlignment="1"/>
    <xf numFmtId="0" fontId="11" fillId="2" borderId="9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left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/>
    </xf>
    <xf numFmtId="58" fontId="1" fillId="2" borderId="11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1" fillId="2" borderId="0" xfId="0" applyFont="1" applyFill="1" applyBorder="1"/>
    <xf numFmtId="0" fontId="12" fillId="2" borderId="0" xfId="0" applyFont="1" applyFill="1" applyBorder="1"/>
    <xf numFmtId="0" fontId="11" fillId="2" borderId="0" xfId="0" applyFont="1" applyFill="1" applyBorder="1" applyAlignment="1">
      <alignment wrapText="1"/>
    </xf>
    <xf numFmtId="0" fontId="12" fillId="2" borderId="0" xfId="0" applyFont="1" applyFill="1" applyBorder="1" applyAlignment="1">
      <alignment wrapText="1"/>
    </xf>
    <xf numFmtId="0" fontId="9" fillId="2" borderId="0" xfId="0" applyFont="1" applyFill="1" applyBorder="1"/>
    <xf numFmtId="0" fontId="11" fillId="2" borderId="0" xfId="0" applyFont="1" applyFill="1" applyBorder="1" applyAlignment="1">
      <alignment horizontal="center" wrapText="1"/>
    </xf>
    <xf numFmtId="0" fontId="12" fillId="2" borderId="0" xfId="0" applyFont="1" applyFill="1" applyBorder="1" applyAlignment="1">
      <alignment horizont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vertical="top"/>
    </xf>
    <xf numFmtId="0" fontId="12" fillId="2" borderId="0" xfId="0" applyFont="1" applyFill="1" applyBorder="1" applyAlignment="1">
      <alignment vertical="top" wrapText="1"/>
    </xf>
    <xf numFmtId="0" fontId="9" fillId="2" borderId="0" xfId="0" applyFont="1" applyFill="1"/>
    <xf numFmtId="0" fontId="13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top" wrapText="1"/>
    </xf>
    <xf numFmtId="0" fontId="12" fillId="2" borderId="0" xfId="0" applyFont="1" applyFill="1"/>
    <xf numFmtId="0" fontId="11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/>
    </xf>
    <xf numFmtId="0" fontId="11" fillId="2" borderId="0" xfId="0" applyFont="1" applyFill="1" applyAlignment="1"/>
    <xf numFmtId="58" fontId="1" fillId="2" borderId="11" xfId="0" applyNumberFormat="1" applyFont="1" applyFill="1" applyBorder="1" applyAlignment="1">
      <alignment horizont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vertical="center"/>
    </xf>
    <xf numFmtId="0" fontId="9" fillId="0" borderId="19" xfId="0" applyFont="1" applyBorder="1" applyAlignment="1">
      <alignment horizontal="left" vertical="center"/>
    </xf>
    <xf numFmtId="58" fontId="11" fillId="2" borderId="11" xfId="0" applyNumberFormat="1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9" fillId="0" borderId="19" xfId="0" applyFont="1" applyBorder="1" applyAlignment="1">
      <alignment horizontal="left"/>
    </xf>
    <xf numFmtId="0" fontId="5" fillId="4" borderId="0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15" fillId="2" borderId="0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16" fillId="2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8" fontId="17" fillId="2" borderId="11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15" fontId="1" fillId="2" borderId="0" xfId="0" applyNumberFormat="1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8" fillId="5" borderId="21" xfId="0" applyFont="1" applyFill="1" applyBorder="1" applyAlignment="1">
      <alignment horizontal="center" vertical="center" wrapText="1"/>
    </xf>
    <xf numFmtId="0" fontId="18" fillId="5" borderId="22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8" fillId="5" borderId="24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20" fillId="2" borderId="25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0" fontId="10" fillId="5" borderId="29" xfId="0" applyFont="1" applyFill="1" applyBorder="1"/>
    <xf numFmtId="0" fontId="21" fillId="5" borderId="30" xfId="0" applyFont="1" applyFill="1" applyBorder="1" applyAlignment="1">
      <alignment horizontal="center" wrapText="1"/>
    </xf>
    <xf numFmtId="0" fontId="21" fillId="5" borderId="31" xfId="0" applyFont="1" applyFill="1" applyBorder="1" applyAlignment="1">
      <alignment horizontal="center" wrapText="1"/>
    </xf>
    <xf numFmtId="0" fontId="21" fillId="5" borderId="12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9" fontId="1" fillId="2" borderId="0" xfId="0" applyNumberFormat="1" applyFont="1" applyFill="1" applyBorder="1" applyAlignment="1">
      <alignment horizontal="center" vertical="center" wrapText="1"/>
    </xf>
    <xf numFmtId="2" fontId="21" fillId="5" borderId="6" xfId="0" applyNumberFormat="1" applyFont="1" applyFill="1" applyBorder="1" applyAlignment="1">
      <alignment horizontal="center" wrapText="1"/>
    </xf>
    <xf numFmtId="0" fontId="1" fillId="2" borderId="32" xfId="0" applyFont="1" applyFill="1" applyBorder="1" applyAlignment="1">
      <alignment horizontal="center" wrapText="1"/>
    </xf>
    <xf numFmtId="0" fontId="1" fillId="2" borderId="32" xfId="0" applyFont="1" applyFill="1" applyBorder="1" applyAlignment="1">
      <alignment wrapText="1"/>
    </xf>
    <xf numFmtId="2" fontId="21" fillId="5" borderId="33" xfId="0" applyNumberFormat="1" applyFont="1" applyFill="1" applyBorder="1" applyAlignment="1">
      <alignment horizontal="center" wrapText="1"/>
    </xf>
    <xf numFmtId="0" fontId="3" fillId="0" borderId="13" xfId="0" applyFont="1" applyBorder="1"/>
    <xf numFmtId="0" fontId="22" fillId="2" borderId="0" xfId="0" applyFont="1" applyFill="1" applyBorder="1" applyAlignment="1">
      <alignment vertical="center" wrapText="1"/>
    </xf>
    <xf numFmtId="0" fontId="23" fillId="4" borderId="0" xfId="0" applyFont="1" applyFill="1" applyBorder="1" applyAlignment="1">
      <alignment horizontal="center" vertical="center" wrapText="1"/>
    </xf>
    <xf numFmtId="1" fontId="24" fillId="2" borderId="6" xfId="0" applyNumberFormat="1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1" fontId="26" fillId="2" borderId="0" xfId="0" applyNumberFormat="1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left" vertical="center" wrapText="1"/>
    </xf>
    <xf numFmtId="1" fontId="22" fillId="2" borderId="0" xfId="0" applyNumberFormat="1" applyFont="1" applyFill="1" applyBorder="1" applyAlignment="1">
      <alignment horizontal="center" vertical="center" wrapText="1"/>
    </xf>
    <xf numFmtId="0" fontId="27" fillId="2" borderId="0" xfId="0" applyFont="1" applyFill="1" applyBorder="1" applyAlignment="1">
      <alignment horizontal="center" vertical="center" wrapText="1"/>
    </xf>
    <xf numFmtId="1" fontId="8" fillId="6" borderId="34" xfId="0" applyNumberFormat="1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left" vertical="center" wrapText="1"/>
    </xf>
    <xf numFmtId="0" fontId="8" fillId="6" borderId="35" xfId="0" applyFont="1" applyFill="1" applyBorder="1" applyAlignment="1">
      <alignment horizontal="center" vertical="center" wrapText="1"/>
    </xf>
    <xf numFmtId="0" fontId="8" fillId="6" borderId="36" xfId="0" applyFont="1" applyFill="1" applyBorder="1" applyAlignment="1">
      <alignment horizontal="left" vertical="center" wrapText="1"/>
    </xf>
    <xf numFmtId="0" fontId="8" fillId="6" borderId="37" xfId="0" applyFont="1" applyFill="1" applyBorder="1" applyAlignment="1">
      <alignment horizontal="center" vertical="center" wrapText="1"/>
    </xf>
    <xf numFmtId="1" fontId="1" fillId="2" borderId="9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28" fillId="0" borderId="9" xfId="0" applyFont="1" applyBorder="1" applyAlignment="1"/>
    <xf numFmtId="0" fontId="7" fillId="2" borderId="9" xfId="0" applyFont="1" applyFill="1" applyBorder="1" applyAlignment="1">
      <alignment horizontal="left" vertical="center" wrapText="1"/>
    </xf>
    <xf numFmtId="49" fontId="1" fillId="2" borderId="38" xfId="0" applyNumberFormat="1" applyFont="1" applyFill="1" applyBorder="1" applyAlignment="1">
      <alignment horizontal="center" vertical="center" wrapText="1"/>
    </xf>
    <xf numFmtId="49" fontId="1" fillId="2" borderId="39" xfId="0" applyNumberFormat="1" applyFont="1" applyFill="1" applyBorder="1" applyAlignment="1">
      <alignment horizontal="center" vertical="center" wrapText="1"/>
    </xf>
    <xf numFmtId="0" fontId="29" fillId="0" borderId="9" xfId="0" applyFont="1" applyBorder="1" applyAlignment="1"/>
    <xf numFmtId="0" fontId="10" fillId="0" borderId="9" xfId="0" applyFont="1" applyBorder="1"/>
    <xf numFmtId="0" fontId="30" fillId="2" borderId="0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0" fontId="3" fillId="0" borderId="12" xfId="0" applyFont="1" applyBorder="1"/>
    <xf numFmtId="1" fontId="30" fillId="2" borderId="40" xfId="0" applyNumberFormat="1" applyFont="1" applyFill="1" applyBorder="1" applyAlignment="1">
      <alignment horizontal="center" vertical="center" wrapText="1"/>
    </xf>
    <xf numFmtId="1" fontId="30" fillId="2" borderId="0" xfId="0" applyNumberFormat="1" applyFont="1" applyFill="1" applyAlignment="1">
      <alignment horizontal="center" vertical="center" wrapText="1"/>
    </xf>
    <xf numFmtId="1" fontId="30" fillId="2" borderId="0" xfId="0" applyNumberFormat="1" applyFont="1" applyFill="1" applyAlignment="1">
      <alignment horizontal="left" vertical="center" wrapText="1"/>
    </xf>
    <xf numFmtId="1" fontId="30" fillId="2" borderId="41" xfId="0" applyNumberFormat="1" applyFont="1" applyFill="1" applyBorder="1" applyAlignment="1">
      <alignment horizontal="center" vertical="center" wrapText="1"/>
    </xf>
    <xf numFmtId="1" fontId="30" fillId="2" borderId="42" xfId="0" applyNumberFormat="1" applyFont="1" applyFill="1" applyBorder="1" applyAlignment="1">
      <alignment horizontal="center" vertical="center" wrapText="1"/>
    </xf>
    <xf numFmtId="1" fontId="30" fillId="2" borderId="43" xfId="0" applyNumberFormat="1" applyFont="1" applyFill="1" applyBorder="1" applyAlignment="1">
      <alignment horizontal="center" vertical="center" wrapText="1"/>
    </xf>
    <xf numFmtId="1" fontId="30" fillId="2" borderId="43" xfId="0" applyNumberFormat="1" applyFont="1" applyFill="1" applyBorder="1" applyAlignment="1">
      <alignment horizontal="left" vertical="center" wrapText="1"/>
    </xf>
    <xf numFmtId="1" fontId="30" fillId="2" borderId="27" xfId="0" applyNumberFormat="1" applyFont="1" applyFill="1" applyBorder="1" applyAlignment="1">
      <alignment horizontal="center" vertical="center" wrapText="1"/>
    </xf>
    <xf numFmtId="1" fontId="22" fillId="2" borderId="0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31" fillId="0" borderId="6" xfId="0" applyFont="1" applyBorder="1" applyAlignment="1">
      <alignment horizontal="center" vertical="center"/>
    </xf>
    <xf numFmtId="0" fontId="32" fillId="4" borderId="6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78" fontId="35" fillId="0" borderId="11" xfId="0" applyNumberFormat="1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5" fontId="8" fillId="5" borderId="44" xfId="0" applyNumberFormat="1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8" fillId="5" borderId="45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178" fontId="1" fillId="0" borderId="46" xfId="0" applyNumberFormat="1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11" fillId="0" borderId="0" xfId="0" applyFont="1" applyAlignment="1">
      <alignment vertical="top"/>
    </xf>
    <xf numFmtId="49" fontId="1" fillId="0" borderId="27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49" fontId="1" fillId="0" borderId="48" xfId="0" applyNumberFormat="1" applyFont="1" applyBorder="1" applyAlignment="1">
      <alignment horizontal="center" vertical="center" wrapText="1"/>
    </xf>
    <xf numFmtId="49" fontId="1" fillId="0" borderId="49" xfId="0" applyNumberFormat="1" applyFont="1" applyBorder="1" applyAlignment="1">
      <alignment horizontal="center" vertical="center" wrapText="1"/>
    </xf>
    <xf numFmtId="49" fontId="1" fillId="0" borderId="50" xfId="0" applyNumberFormat="1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0</xdr:rowOff>
    </xdr:from>
    <xdr:ext cx="2143125" cy="7810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61925"/>
          <a:ext cx="2143125" cy="781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2.6296296296296" defaultRowHeight="15" customHeight="1"/>
  <cols>
    <col min="1" max="1" width="28.1296296296296" customWidth="1"/>
    <col min="2" max="2" width="10" customWidth="1"/>
    <col min="3" max="3" width="14.3796296296296" customWidth="1"/>
    <col min="4" max="4" width="8" customWidth="1"/>
    <col min="5" max="5" width="38" customWidth="1"/>
    <col min="6" max="6" width="48.1296296296296" customWidth="1"/>
    <col min="7" max="26" width="9" customWidth="1"/>
  </cols>
  <sheetData>
    <row r="1" ht="12.75" customHeight="1" spans="1:26">
      <c r="A1" s="152"/>
      <c r="B1" s="152"/>
      <c r="C1" s="152"/>
      <c r="D1" s="152"/>
      <c r="E1" s="152"/>
      <c r="F1" s="152"/>
      <c r="G1" s="152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 ht="75.75" customHeight="1" spans="1:26">
      <c r="A2" s="154"/>
      <c r="B2" s="155" t="s">
        <v>0</v>
      </c>
      <c r="C2" s="12"/>
      <c r="D2" s="12"/>
      <c r="E2" s="12"/>
      <c r="F2" s="85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</row>
    <row r="3" ht="12.75" customHeight="1" spans="1:26">
      <c r="A3" s="156"/>
      <c r="B3" s="157"/>
      <c r="C3" s="152"/>
      <c r="D3" s="152"/>
      <c r="E3" s="58"/>
      <c r="F3" s="152"/>
      <c r="G3" s="152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</row>
    <row r="4" ht="14.25" customHeight="1" spans="1:26">
      <c r="A4" s="158" t="s">
        <v>1</v>
      </c>
      <c r="B4" s="159" t="s">
        <v>2</v>
      </c>
      <c r="C4" s="12"/>
      <c r="D4" s="85"/>
      <c r="E4" s="158" t="s">
        <v>3</v>
      </c>
      <c r="F4" s="160" t="s">
        <v>4</v>
      </c>
      <c r="G4" s="152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</row>
    <row r="5" ht="14.25" customHeight="1" spans="1:26">
      <c r="A5" s="158" t="s">
        <v>5</v>
      </c>
      <c r="B5" s="159" t="s">
        <v>6</v>
      </c>
      <c r="C5" s="12"/>
      <c r="D5" s="85"/>
      <c r="E5" s="158" t="s">
        <v>7</v>
      </c>
      <c r="F5" s="161">
        <v>45991</v>
      </c>
      <c r="G5" s="152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</row>
    <row r="6" ht="15.75" customHeight="1" spans="1:26">
      <c r="A6" s="158" t="s">
        <v>8</v>
      </c>
      <c r="B6" s="159" t="s">
        <v>9</v>
      </c>
      <c r="C6" s="12"/>
      <c r="D6" s="85"/>
      <c r="E6" s="158" t="s">
        <v>10</v>
      </c>
      <c r="F6" s="162" t="s">
        <v>11</v>
      </c>
      <c r="G6" s="152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 ht="12.75" customHeight="1" spans="1:26">
      <c r="A7" s="163"/>
      <c r="B7" s="157"/>
      <c r="C7" s="152"/>
      <c r="D7" s="152"/>
      <c r="E7" s="164"/>
      <c r="F7" s="157"/>
      <c r="G7" s="152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 ht="12.75" customHeight="1" spans="1:26">
      <c r="A8" s="152"/>
      <c r="B8" s="152"/>
      <c r="C8" s="152"/>
      <c r="D8" s="152"/>
      <c r="E8" s="152"/>
      <c r="F8" s="152"/>
      <c r="G8" s="152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</row>
    <row r="9" ht="12.75" customHeight="1" spans="1:26">
      <c r="A9" s="165" t="s">
        <v>12</v>
      </c>
      <c r="B9" s="166"/>
      <c r="C9" s="166"/>
      <c r="D9" s="166"/>
      <c r="E9" s="166"/>
      <c r="F9" s="166"/>
      <c r="G9" s="152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</row>
    <row r="10" ht="12.75" customHeight="1" spans="1:26">
      <c r="A10" s="167" t="s">
        <v>13</v>
      </c>
      <c r="B10" s="168" t="s">
        <v>10</v>
      </c>
      <c r="C10" s="168" t="s">
        <v>14</v>
      </c>
      <c r="D10" s="168" t="s">
        <v>15</v>
      </c>
      <c r="E10" s="168" t="s">
        <v>16</v>
      </c>
      <c r="F10" s="169" t="s">
        <v>17</v>
      </c>
      <c r="G10" s="152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</row>
    <row r="11" ht="26.25" customHeight="1" spans="1:26">
      <c r="A11" s="171">
        <v>45991</v>
      </c>
      <c r="B11" s="172" t="s">
        <v>18</v>
      </c>
      <c r="C11" s="173"/>
      <c r="D11" s="173" t="s">
        <v>19</v>
      </c>
      <c r="E11" s="173" t="s">
        <v>20</v>
      </c>
      <c r="F11" s="174"/>
      <c r="G11" s="152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</row>
    <row r="12" ht="21.75" customHeight="1" spans="1:26">
      <c r="A12" s="171">
        <v>45994</v>
      </c>
      <c r="B12" s="176" t="s">
        <v>21</v>
      </c>
      <c r="C12" s="177"/>
      <c r="D12" s="177" t="s">
        <v>22</v>
      </c>
      <c r="E12" s="177" t="s">
        <v>23</v>
      </c>
      <c r="F12" s="178"/>
      <c r="G12" s="152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 ht="19.5" customHeight="1" spans="1:26">
      <c r="A13" s="171">
        <v>46035</v>
      </c>
      <c r="B13" s="176" t="s">
        <v>24</v>
      </c>
      <c r="C13" s="177"/>
      <c r="D13" s="177" t="s">
        <v>25</v>
      </c>
      <c r="E13" s="177" t="s">
        <v>26</v>
      </c>
      <c r="F13" s="178"/>
      <c r="G13" s="152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 ht="21.75" customHeight="1" spans="1:26">
      <c r="A14" s="179"/>
      <c r="B14" s="176"/>
      <c r="C14" s="177"/>
      <c r="D14" s="177"/>
      <c r="E14" s="177"/>
      <c r="F14" s="178"/>
      <c r="G14" s="152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 ht="19.5" customHeight="1" spans="1:26">
      <c r="A15" s="179"/>
      <c r="B15" s="176"/>
      <c r="C15" s="177"/>
      <c r="D15" s="177"/>
      <c r="E15" s="177"/>
      <c r="F15" s="178"/>
      <c r="G15" s="152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</row>
    <row r="16" ht="21.75" customHeight="1" spans="1:26">
      <c r="A16" s="180"/>
      <c r="B16" s="181"/>
      <c r="C16" s="182"/>
      <c r="D16" s="182"/>
      <c r="E16" s="182"/>
      <c r="F16" s="183"/>
      <c r="G16" s="152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</row>
    <row r="17" ht="12.75" customHeight="1" spans="1:26">
      <c r="A17" s="152"/>
      <c r="B17" s="152"/>
      <c r="C17" s="152"/>
      <c r="D17" s="152"/>
      <c r="E17" s="152"/>
      <c r="F17" s="152"/>
      <c r="G17" s="152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</row>
    <row r="18" ht="12.75" customHeight="1" spans="1:26">
      <c r="A18" s="152"/>
      <c r="B18" s="152"/>
      <c r="C18" s="152"/>
      <c r="D18" s="152"/>
      <c r="E18" s="152"/>
      <c r="F18" s="152"/>
      <c r="G18" s="152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 ht="12.75" customHeight="1" spans="1:26">
      <c r="A19" s="184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 ht="12.75" customHeight="1" spans="1:26">
      <c r="A20" s="184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</row>
    <row r="21" ht="12.75" customHeight="1" spans="1:26">
      <c r="A21" s="184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</row>
    <row r="22" ht="12.75" customHeight="1" spans="1:26">
      <c r="A22" s="184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</row>
    <row r="23" ht="12.75" customHeight="1" spans="1:26">
      <c r="A23" s="184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</row>
    <row r="24" ht="12.75" customHeight="1" spans="1:26">
      <c r="A24" s="184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</row>
    <row r="25" ht="12.75" customHeight="1" spans="1:26">
      <c r="A25" s="184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</row>
    <row r="26" ht="12.75" customHeight="1" spans="1:26">
      <c r="A26" s="184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</row>
    <row r="27" ht="12.75" customHeight="1" spans="1:26">
      <c r="A27" s="184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</row>
    <row r="28" ht="12.75" customHeight="1" spans="1:26">
      <c r="A28" s="184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</row>
    <row r="29" ht="12.75" customHeight="1" spans="1:26">
      <c r="A29" s="184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</row>
    <row r="30" ht="12.75" customHeight="1" spans="1:26">
      <c r="A30" s="184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</row>
    <row r="31" ht="12.75" customHeight="1" spans="1:26">
      <c r="A31" s="184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</row>
    <row r="32" ht="12.75" customHeight="1" spans="1:26">
      <c r="A32" s="184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</row>
    <row r="33" ht="12.75" customHeight="1" spans="1:26">
      <c r="A33" s="184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</row>
    <row r="34" ht="12.75" customHeight="1" spans="1:26">
      <c r="A34" s="184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</row>
    <row r="35" ht="12.75" customHeight="1" spans="1:26">
      <c r="A35" s="184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</row>
    <row r="36" ht="12.75" customHeight="1" spans="1:26">
      <c r="A36" s="184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</row>
    <row r="37" ht="12.75" customHeight="1" spans="1:26">
      <c r="A37" s="184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</row>
    <row r="38" ht="12.75" customHeight="1" spans="1:26">
      <c r="A38" s="184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</row>
    <row r="39" ht="12.75" customHeight="1" spans="1:26">
      <c r="A39" s="184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</row>
    <row r="40" ht="12.75" customHeight="1" spans="1:26">
      <c r="A40" s="184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</row>
    <row r="41" ht="12.75" customHeight="1" spans="1:26">
      <c r="A41" s="184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</row>
    <row r="42" ht="12.75" customHeight="1" spans="1:26">
      <c r="A42" s="184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</row>
    <row r="43" ht="12.75" customHeight="1" spans="1:26">
      <c r="A43" s="184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</row>
    <row r="44" ht="12.75" customHeight="1" spans="1:26">
      <c r="A44" s="184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</row>
    <row r="45" ht="12.75" customHeight="1" spans="1:26">
      <c r="A45" s="184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</row>
    <row r="46" ht="12.75" customHeight="1" spans="1:26">
      <c r="A46" s="184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</row>
    <row r="47" ht="12.75" customHeight="1" spans="1:26">
      <c r="A47" s="184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</row>
    <row r="48" ht="12.75" customHeight="1" spans="1:26">
      <c r="A48" s="184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</row>
    <row r="49" ht="12.75" customHeight="1" spans="1:26">
      <c r="A49" s="184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</row>
    <row r="50" ht="12.75" customHeight="1" spans="1:26">
      <c r="A50" s="184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</row>
    <row r="51" ht="12.75" customHeight="1" spans="1:26">
      <c r="A51" s="184"/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</row>
    <row r="52" ht="12.75" customHeight="1" spans="1:26">
      <c r="A52" s="184"/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</row>
    <row r="53" ht="12.75" customHeight="1" spans="1:26">
      <c r="A53" s="184"/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</row>
    <row r="54" ht="12.75" customHeight="1" spans="1:26">
      <c r="A54" s="184"/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</row>
    <row r="55" ht="12.75" customHeight="1" spans="1:26">
      <c r="A55" s="184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</row>
    <row r="56" ht="12.75" customHeight="1" spans="1:26">
      <c r="A56" s="184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</row>
    <row r="57" ht="12.75" customHeight="1" spans="1:26">
      <c r="A57" s="184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</row>
    <row r="58" ht="12.75" customHeight="1" spans="1:26">
      <c r="A58" s="184"/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</row>
    <row r="59" ht="12.75" customHeight="1" spans="1:26">
      <c r="A59" s="184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</row>
    <row r="60" ht="12.75" customHeight="1" spans="1:26">
      <c r="A60" s="184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</row>
    <row r="61" ht="12.75" customHeight="1" spans="1:26">
      <c r="A61" s="184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</row>
    <row r="62" ht="12.75" customHeight="1" spans="1:26">
      <c r="A62" s="184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</row>
    <row r="63" ht="12.75" customHeight="1" spans="1:26">
      <c r="A63" s="184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</row>
    <row r="64" ht="12.75" customHeight="1" spans="1:26">
      <c r="A64" s="184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</row>
    <row r="65" ht="12.75" customHeight="1" spans="1:26">
      <c r="A65" s="184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</row>
    <row r="66" ht="12.75" customHeight="1" spans="1:26">
      <c r="A66" s="184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</row>
    <row r="67" ht="12.75" customHeight="1" spans="1:26">
      <c r="A67" s="184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</row>
    <row r="68" ht="12.75" customHeight="1" spans="1:26">
      <c r="A68" s="184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</row>
    <row r="69" ht="12.75" customHeight="1" spans="1:26">
      <c r="A69" s="184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</row>
    <row r="70" ht="12.75" customHeight="1" spans="1:26">
      <c r="A70" s="184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</row>
    <row r="71" ht="12.75" customHeight="1" spans="1:26">
      <c r="A71" s="184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</row>
    <row r="72" ht="12.75" customHeight="1" spans="1:26">
      <c r="A72" s="184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</row>
    <row r="73" ht="12.75" customHeight="1" spans="1:26">
      <c r="A73" s="184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</row>
    <row r="74" ht="12.75" customHeight="1" spans="1:26">
      <c r="A74" s="184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</row>
    <row r="75" ht="12.75" customHeight="1" spans="1:26">
      <c r="A75" s="184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</row>
    <row r="76" ht="12.75" customHeight="1" spans="1:26">
      <c r="A76" s="184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</row>
    <row r="77" ht="12.75" customHeight="1" spans="1:26">
      <c r="A77" s="184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</row>
    <row r="78" ht="12.75" customHeight="1" spans="1:26">
      <c r="A78" s="184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</row>
    <row r="79" ht="12.75" customHeight="1" spans="1:26">
      <c r="A79" s="184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</row>
    <row r="80" ht="12.75" customHeight="1" spans="1:26">
      <c r="A80" s="184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</row>
    <row r="81" ht="12.75" customHeight="1" spans="1:26">
      <c r="A81" s="184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</row>
    <row r="82" ht="12.75" customHeight="1" spans="1:26">
      <c r="A82" s="184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</row>
    <row r="83" ht="12.75" customHeight="1" spans="1:26">
      <c r="A83" s="184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</row>
    <row r="84" ht="12.75" customHeight="1" spans="1:26">
      <c r="A84" s="184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</row>
    <row r="85" ht="12.75" customHeight="1" spans="1:26">
      <c r="A85" s="184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</row>
    <row r="86" ht="12.75" customHeight="1" spans="1:26">
      <c r="A86" s="184"/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</row>
    <row r="87" ht="12.75" customHeight="1" spans="1:26">
      <c r="A87" s="184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</row>
    <row r="88" ht="12.75" customHeight="1" spans="1:26">
      <c r="A88" s="184"/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</row>
    <row r="89" ht="12.75" customHeight="1" spans="1:26">
      <c r="A89" s="184"/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</row>
    <row r="90" ht="12.75" customHeight="1" spans="1:26">
      <c r="A90" s="184"/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</row>
    <row r="91" ht="12.75" customHeight="1" spans="1:26">
      <c r="A91" s="184"/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</row>
    <row r="92" ht="12.75" customHeight="1" spans="1:26">
      <c r="A92" s="184"/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</row>
    <row r="93" ht="12.75" customHeight="1" spans="1:26">
      <c r="A93" s="184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</row>
    <row r="94" ht="12.75" customHeight="1" spans="1:26">
      <c r="A94" s="184"/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</row>
    <row r="95" ht="12.75" customHeight="1" spans="1:26">
      <c r="A95" s="184"/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</row>
    <row r="96" ht="12.75" customHeight="1" spans="1:26">
      <c r="A96" s="184"/>
      <c r="B96" s="153"/>
      <c r="C96" s="153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</row>
    <row r="97" ht="12.75" customHeight="1" spans="1:26">
      <c r="A97" s="184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</row>
    <row r="98" ht="12.75" customHeight="1" spans="1:26">
      <c r="A98" s="184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</row>
    <row r="99" ht="12.75" customHeight="1" spans="1:26">
      <c r="A99" s="184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</row>
    <row r="100" ht="12.75" customHeight="1" spans="1:26">
      <c r="A100" s="184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</row>
    <row r="101" ht="12.75" customHeight="1" spans="1:26">
      <c r="A101" s="184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</row>
    <row r="102" ht="12.75" customHeight="1" spans="1:26">
      <c r="A102" s="184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</row>
    <row r="103" ht="12.75" customHeight="1" spans="1:26">
      <c r="A103" s="184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</row>
    <row r="104" ht="12.75" customHeight="1" spans="1:26">
      <c r="A104" s="184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</row>
    <row r="105" ht="12.75" customHeight="1" spans="1:26">
      <c r="A105" s="184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</row>
    <row r="106" ht="12.75" customHeight="1" spans="1:26">
      <c r="A106" s="184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</row>
    <row r="107" ht="12.75" customHeight="1" spans="1:26">
      <c r="A107" s="184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</row>
    <row r="108" ht="12.75" customHeight="1" spans="1:26">
      <c r="A108" s="184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</row>
    <row r="109" ht="12.75" customHeight="1" spans="1:26">
      <c r="A109" s="184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</row>
    <row r="110" ht="12.75" customHeight="1" spans="1:26">
      <c r="A110" s="184"/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</row>
    <row r="111" ht="12.75" customHeight="1" spans="1:26">
      <c r="A111" s="184"/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</row>
    <row r="112" ht="12.75" customHeight="1" spans="1:26">
      <c r="A112" s="184"/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</row>
    <row r="113" ht="12.75" customHeight="1" spans="1:26">
      <c r="A113" s="184"/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</row>
    <row r="114" ht="12.75" customHeight="1" spans="1:26">
      <c r="A114" s="184"/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</row>
    <row r="115" ht="12.75" customHeight="1" spans="1:26">
      <c r="A115" s="184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</row>
    <row r="116" ht="12.75" customHeight="1" spans="1:26">
      <c r="A116" s="184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</row>
    <row r="117" ht="12.75" customHeight="1" spans="1:26">
      <c r="A117" s="184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</row>
    <row r="118" ht="12.75" customHeight="1" spans="1:26">
      <c r="A118" s="184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</row>
    <row r="119" ht="12.75" customHeight="1" spans="1:26">
      <c r="A119" s="184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</row>
    <row r="120" ht="12.75" customHeight="1" spans="1:26">
      <c r="A120" s="184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</row>
    <row r="121" ht="12.75" customHeight="1" spans="1:26">
      <c r="A121" s="184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</row>
    <row r="122" ht="12.75" customHeight="1" spans="1:26">
      <c r="A122" s="184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</row>
    <row r="123" ht="12.75" customHeight="1" spans="1:26">
      <c r="A123" s="184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</row>
    <row r="124" ht="12.75" customHeight="1" spans="1:26">
      <c r="A124" s="184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</row>
    <row r="125" ht="12.75" customHeight="1" spans="1:26">
      <c r="A125" s="184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</row>
    <row r="126" ht="12.75" customHeight="1" spans="1:26">
      <c r="A126" s="184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</row>
    <row r="127" ht="12.75" customHeight="1" spans="1:26">
      <c r="A127" s="184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</row>
    <row r="128" ht="12.75" customHeight="1" spans="1:26">
      <c r="A128" s="184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</row>
    <row r="129" ht="12.75" customHeight="1" spans="1:26">
      <c r="A129" s="184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</row>
    <row r="130" ht="12.75" customHeight="1" spans="1:26">
      <c r="A130" s="184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</row>
    <row r="131" ht="12.75" customHeight="1" spans="1:26">
      <c r="A131" s="184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</row>
    <row r="132" ht="12.75" customHeight="1" spans="1:26">
      <c r="A132" s="184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</row>
    <row r="133" ht="12.75" customHeight="1" spans="1:26">
      <c r="A133" s="184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</row>
    <row r="134" ht="12.75" customHeight="1" spans="1:26">
      <c r="A134" s="184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</row>
    <row r="135" ht="12.75" customHeight="1" spans="1:26">
      <c r="A135" s="184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</row>
    <row r="136" ht="12.75" customHeight="1" spans="1:26">
      <c r="A136" s="184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</row>
    <row r="137" ht="12.75" customHeight="1" spans="1:26">
      <c r="A137" s="184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</row>
    <row r="138" ht="12.75" customHeight="1" spans="1:26">
      <c r="A138" s="184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</row>
    <row r="139" ht="12.75" customHeight="1" spans="1:26">
      <c r="A139" s="184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</row>
    <row r="140" ht="12.75" customHeight="1" spans="1:26">
      <c r="A140" s="184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</row>
    <row r="141" ht="12.75" customHeight="1" spans="1:26">
      <c r="A141" s="184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</row>
    <row r="142" ht="12.75" customHeight="1" spans="1:26">
      <c r="A142" s="184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</row>
    <row r="143" ht="12.75" customHeight="1" spans="1:26">
      <c r="A143" s="184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</row>
    <row r="144" ht="12.75" customHeight="1" spans="1:26">
      <c r="A144" s="184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</row>
    <row r="145" ht="12.75" customHeight="1" spans="1:26">
      <c r="A145" s="184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</row>
    <row r="146" ht="12.75" customHeight="1" spans="1:26">
      <c r="A146" s="184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</row>
    <row r="147" ht="12.75" customHeight="1" spans="1:26">
      <c r="A147" s="184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</row>
    <row r="148" ht="12.75" customHeight="1" spans="1:26">
      <c r="A148" s="184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</row>
    <row r="149" ht="12.75" customHeight="1" spans="1:26">
      <c r="A149" s="184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</row>
    <row r="150" ht="12.75" customHeight="1" spans="1:26">
      <c r="A150" s="184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</row>
    <row r="151" ht="12.75" customHeight="1" spans="1:26">
      <c r="A151" s="184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</row>
    <row r="152" ht="12.75" customHeight="1" spans="1:26">
      <c r="A152" s="184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</row>
    <row r="153" ht="12.75" customHeight="1" spans="1:26">
      <c r="A153" s="184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</row>
    <row r="154" ht="12.75" customHeight="1" spans="1:26">
      <c r="A154" s="184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</row>
    <row r="155" ht="12.75" customHeight="1" spans="1:26">
      <c r="A155" s="184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</row>
    <row r="156" ht="12.75" customHeight="1" spans="1:26">
      <c r="A156" s="184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</row>
    <row r="157" ht="12.75" customHeight="1" spans="1:26">
      <c r="A157" s="184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</row>
    <row r="158" ht="12.75" customHeight="1" spans="1:26">
      <c r="A158" s="184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</row>
    <row r="159" ht="12.75" customHeight="1" spans="1:26">
      <c r="A159" s="184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</row>
    <row r="160" ht="12.75" customHeight="1" spans="1:26">
      <c r="A160" s="184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</row>
    <row r="161" ht="12.75" customHeight="1" spans="1:26">
      <c r="A161" s="184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</row>
    <row r="162" ht="12.75" customHeight="1" spans="1:26">
      <c r="A162" s="184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</row>
    <row r="163" ht="12.75" customHeight="1" spans="1:26">
      <c r="A163" s="184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</row>
    <row r="164" ht="12.75" customHeight="1" spans="1:26">
      <c r="A164" s="184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</row>
    <row r="165" ht="12.75" customHeight="1" spans="1:26">
      <c r="A165" s="184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</row>
    <row r="166" ht="12.75" customHeight="1" spans="1:26">
      <c r="A166" s="184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</row>
    <row r="167" ht="12.75" customHeight="1" spans="1:26">
      <c r="A167" s="184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</row>
    <row r="168" ht="12.75" customHeight="1" spans="1:26">
      <c r="A168" s="184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</row>
    <row r="169" ht="12.75" customHeight="1" spans="1:26">
      <c r="A169" s="184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</row>
    <row r="170" ht="12.75" customHeight="1" spans="1:26">
      <c r="A170" s="184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</row>
    <row r="171" ht="12.75" customHeight="1" spans="1:26">
      <c r="A171" s="184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</row>
    <row r="172" ht="12.75" customHeight="1" spans="1:26">
      <c r="A172" s="184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</row>
    <row r="173" ht="12.75" customHeight="1" spans="1:26">
      <c r="A173" s="184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</row>
    <row r="174" ht="12.75" customHeight="1" spans="1:26">
      <c r="A174" s="184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</row>
    <row r="175" ht="12.75" customHeight="1" spans="1:26">
      <c r="A175" s="184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</row>
    <row r="176" ht="12.75" customHeight="1" spans="1:26">
      <c r="A176" s="184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</row>
    <row r="177" ht="12.75" customHeight="1" spans="1:26">
      <c r="A177" s="184"/>
      <c r="B177" s="153"/>
      <c r="C177" s="153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</row>
    <row r="178" ht="12.75" customHeight="1" spans="1:26">
      <c r="A178" s="184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</row>
    <row r="179" ht="12.75" customHeight="1" spans="1:26">
      <c r="A179" s="184"/>
      <c r="B179" s="153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</row>
    <row r="180" ht="12.75" customHeight="1" spans="1:26">
      <c r="A180" s="184"/>
      <c r="B180" s="153"/>
      <c r="C180" s="153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</row>
    <row r="181" ht="12.75" customHeight="1" spans="1:26">
      <c r="A181" s="184"/>
      <c r="B181" s="153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</row>
    <row r="182" ht="12.75" customHeight="1" spans="1:26">
      <c r="A182" s="184"/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</row>
    <row r="183" ht="12.75" customHeight="1" spans="1:26">
      <c r="A183" s="184"/>
      <c r="B183" s="153"/>
      <c r="C183" s="153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</row>
    <row r="184" ht="12.75" customHeight="1" spans="1:26">
      <c r="A184" s="184"/>
      <c r="B184" s="153"/>
      <c r="C184" s="153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</row>
    <row r="185" ht="12.75" customHeight="1" spans="1:26">
      <c r="A185" s="184"/>
      <c r="B185" s="153"/>
      <c r="C185" s="153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</row>
    <row r="186" ht="12.75" customHeight="1" spans="1:26">
      <c r="A186" s="184"/>
      <c r="B186" s="153"/>
      <c r="C186" s="153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</row>
    <row r="187" ht="12.75" customHeight="1" spans="1:26">
      <c r="A187" s="184"/>
      <c r="B187" s="153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</row>
    <row r="188" ht="12.75" customHeight="1" spans="1:26">
      <c r="A188" s="184"/>
      <c r="B188" s="153"/>
      <c r="C188" s="153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</row>
    <row r="189" ht="12.75" customHeight="1" spans="1:26">
      <c r="A189" s="184"/>
      <c r="B189" s="153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</row>
    <row r="190" ht="12.75" customHeight="1" spans="1:26">
      <c r="A190" s="184"/>
      <c r="B190" s="153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</row>
    <row r="191" ht="12.75" customHeight="1" spans="1:26">
      <c r="A191" s="184"/>
      <c r="B191" s="153"/>
      <c r="C191" s="153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</row>
    <row r="192" ht="12.75" customHeight="1" spans="1:26">
      <c r="A192" s="184"/>
      <c r="B192" s="153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</row>
    <row r="193" ht="12.75" customHeight="1" spans="1:26">
      <c r="A193" s="184"/>
      <c r="B193" s="153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</row>
    <row r="194" ht="12.75" customHeight="1" spans="1:26">
      <c r="A194" s="184"/>
      <c r="B194" s="153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</row>
    <row r="195" ht="12.75" customHeight="1" spans="1:26">
      <c r="A195" s="184"/>
      <c r="B195" s="153"/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</row>
    <row r="196" ht="12.75" customHeight="1" spans="1:26">
      <c r="A196" s="184"/>
      <c r="B196" s="153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</row>
    <row r="197" ht="12.75" customHeight="1" spans="1:26">
      <c r="A197" s="184"/>
      <c r="B197" s="153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</row>
    <row r="198" ht="12.75" customHeight="1" spans="1:26">
      <c r="A198" s="184"/>
      <c r="B198" s="153"/>
      <c r="C198" s="153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</row>
    <row r="199" ht="12.75" customHeight="1" spans="1:26">
      <c r="A199" s="184"/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</row>
    <row r="200" ht="12.75" customHeight="1" spans="1:26">
      <c r="A200" s="184"/>
      <c r="B200" s="153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</row>
    <row r="201" ht="12.75" customHeight="1" spans="1:26">
      <c r="A201" s="184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</row>
    <row r="202" ht="12.75" customHeight="1" spans="1:26">
      <c r="A202" s="184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</row>
    <row r="203" ht="12.75" customHeight="1" spans="1:26">
      <c r="A203" s="184"/>
      <c r="B203" s="153"/>
      <c r="C203" s="153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</row>
    <row r="204" ht="12.75" customHeight="1" spans="1:26">
      <c r="A204" s="184"/>
      <c r="B204" s="153"/>
      <c r="C204" s="153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</row>
    <row r="205" ht="12.75" customHeight="1" spans="1:26">
      <c r="A205" s="184"/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</row>
    <row r="206" ht="12.75" customHeight="1" spans="1:26">
      <c r="A206" s="184"/>
      <c r="B206" s="153"/>
      <c r="C206" s="153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</row>
    <row r="207" ht="12.75" customHeight="1" spans="1:26">
      <c r="A207" s="184"/>
      <c r="B207" s="153"/>
      <c r="C207" s="153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</row>
    <row r="208" ht="12.75" customHeight="1" spans="1:26">
      <c r="A208" s="184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</row>
    <row r="209" ht="12.75" customHeight="1" spans="1:26">
      <c r="A209" s="184"/>
      <c r="B209" s="153"/>
      <c r="C209" s="153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</row>
    <row r="210" ht="12.75" customHeight="1" spans="1:26">
      <c r="A210" s="184"/>
      <c r="B210" s="153"/>
      <c r="C210" s="153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</row>
    <row r="211" ht="12.75" customHeight="1" spans="1:26">
      <c r="A211" s="184"/>
      <c r="B211" s="153"/>
      <c r="C211" s="153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</row>
    <row r="212" ht="12.75" customHeight="1" spans="1:26">
      <c r="A212" s="184"/>
      <c r="B212" s="153"/>
      <c r="C212" s="153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</row>
    <row r="213" ht="12.75" customHeight="1" spans="1:26">
      <c r="A213" s="184"/>
      <c r="B213" s="153"/>
      <c r="C213" s="153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</row>
    <row r="214" ht="12.75" customHeight="1" spans="1:26">
      <c r="A214" s="184"/>
      <c r="B214" s="153"/>
      <c r="C214" s="153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</row>
    <row r="215" ht="12.75" customHeight="1" spans="1:26">
      <c r="A215" s="184"/>
      <c r="B215" s="153"/>
      <c r="C215" s="153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</row>
    <row r="216" ht="12.75" customHeight="1" spans="1:26">
      <c r="A216" s="184"/>
      <c r="B216" s="153"/>
      <c r="C216" s="153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</row>
    <row r="217" ht="12.75" customHeight="1" spans="1:26">
      <c r="A217" s="184"/>
      <c r="B217" s="153"/>
      <c r="C217" s="153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</row>
    <row r="218" ht="12.75" customHeight="1" spans="1:26">
      <c r="A218" s="184"/>
      <c r="B218" s="153"/>
      <c r="C218" s="153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</row>
    <row r="219" ht="12.75" customHeight="1" spans="1:26">
      <c r="A219" s="184"/>
      <c r="B219" s="153"/>
      <c r="C219" s="153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</row>
    <row r="220" ht="12.75" customHeight="1" spans="1:26">
      <c r="A220" s="184"/>
      <c r="B220" s="153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F2"/>
    <mergeCell ref="B4:D4"/>
    <mergeCell ref="B5:D5"/>
    <mergeCell ref="B6:D6"/>
  </mergeCells>
  <pageMargins left="0.470138888888889" right="0.470138888888889" top="0.5" bottom="0.351388888888889" header="0" footer="0"/>
  <pageSetup paperSize="9" orientation="landscape"/>
  <headerFooter>
    <oddFooter>&amp;L 02ae-BM/PM/HDCV/FSOFT v2/1&amp;CInternal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17"/>
  <sheetViews>
    <sheetView workbookViewId="0">
      <pane ySplit="8" topLeftCell="A9" activePane="bottomLeft" state="frozen"/>
      <selection/>
      <selection pane="bottomLeft" activeCell="B10" sqref="B10"/>
    </sheetView>
  </sheetViews>
  <sheetFormatPr defaultColWidth="12.6296296296296" defaultRowHeight="15" customHeight="1"/>
  <cols>
    <col min="1" max="1" width="1.37962962962963" customWidth="1"/>
    <col min="2" max="2" width="11.8796296296296" customWidth="1"/>
    <col min="3" max="3" width="26.5" hidden="1" customWidth="1"/>
    <col min="4" max="4" width="29.5" customWidth="1"/>
    <col min="5" max="5" width="26.5" customWidth="1"/>
    <col min="6" max="6" width="21.8796296296296" customWidth="1"/>
    <col min="7" max="7" width="38.5" customWidth="1"/>
    <col min="8" max="8" width="30.6296296296296" customWidth="1"/>
    <col min="9" max="28" width="9" customWidth="1"/>
  </cols>
  <sheetData>
    <row r="1" ht="12.75" customHeight="1" spans="1:28">
      <c r="A1" s="115"/>
      <c r="B1" s="116" t="s">
        <v>27</v>
      </c>
      <c r="C1" s="80"/>
      <c r="D1" s="80"/>
      <c r="E1" s="80"/>
      <c r="F1" s="80"/>
      <c r="G1" s="80"/>
      <c r="H1" s="80"/>
      <c r="I1" s="120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</row>
    <row r="2" ht="13.5" customHeight="1" spans="1:28">
      <c r="A2" s="115"/>
      <c r="B2" s="80"/>
      <c r="I2" s="120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</row>
    <row r="3" ht="25.5" customHeight="1" spans="1:28">
      <c r="A3" s="115"/>
      <c r="B3" s="117" t="s">
        <v>1</v>
      </c>
      <c r="C3" s="12"/>
      <c r="D3" s="12"/>
      <c r="E3" s="12"/>
      <c r="F3" s="118" t="s">
        <v>2</v>
      </c>
      <c r="G3" s="12"/>
      <c r="H3" s="85"/>
      <c r="I3" s="120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</row>
    <row r="4" ht="28.5" customHeight="1" spans="1:28">
      <c r="A4" s="115"/>
      <c r="B4" s="117" t="s">
        <v>5</v>
      </c>
      <c r="C4" s="12"/>
      <c r="D4" s="12"/>
      <c r="E4" s="12"/>
      <c r="F4" s="118" t="s">
        <v>6</v>
      </c>
      <c r="G4" s="12"/>
      <c r="H4" s="85"/>
      <c r="I4" s="120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</row>
    <row r="5" ht="51.75" customHeight="1" spans="1:28">
      <c r="A5" s="115"/>
      <c r="B5" s="117" t="s">
        <v>28</v>
      </c>
      <c r="C5" s="12"/>
      <c r="D5" s="12"/>
      <c r="E5" s="85"/>
      <c r="F5" s="118" t="s">
        <v>29</v>
      </c>
      <c r="G5" s="12"/>
      <c r="H5" s="85"/>
      <c r="I5" s="120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</row>
    <row r="6" ht="12.75" customHeight="1" spans="1:28">
      <c r="A6" s="115"/>
      <c r="B6" s="119"/>
      <c r="C6" s="120"/>
      <c r="D6" s="121"/>
      <c r="E6" s="120"/>
      <c r="F6" s="120"/>
      <c r="G6" s="121"/>
      <c r="H6" s="120"/>
      <c r="I6" s="120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</row>
    <row r="7" ht="12.75" customHeight="1" spans="1:28">
      <c r="A7" s="115"/>
      <c r="B7" s="122"/>
      <c r="C7" s="120"/>
      <c r="D7" s="121"/>
      <c r="E7" s="120"/>
      <c r="F7" s="120"/>
      <c r="G7" s="121"/>
      <c r="H7" s="120"/>
      <c r="I7" s="120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</row>
    <row r="8" ht="21" customHeight="1" spans="1:28">
      <c r="A8" s="123"/>
      <c r="B8" s="124" t="s">
        <v>30</v>
      </c>
      <c r="C8" s="125" t="s">
        <v>31</v>
      </c>
      <c r="D8" s="126" t="s">
        <v>32</v>
      </c>
      <c r="E8" s="127" t="s">
        <v>33</v>
      </c>
      <c r="F8" s="127" t="s">
        <v>34</v>
      </c>
      <c r="G8" s="128" t="s">
        <v>35</v>
      </c>
      <c r="H8" s="129" t="s">
        <v>36</v>
      </c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</row>
    <row r="9" ht="13.8" spans="1:28">
      <c r="A9" s="115"/>
      <c r="B9" s="130">
        <v>1</v>
      </c>
      <c r="C9" s="131"/>
      <c r="D9" s="132" t="s">
        <v>37</v>
      </c>
      <c r="E9" s="131" t="s">
        <v>38</v>
      </c>
      <c r="F9" s="133" t="s">
        <v>38</v>
      </c>
      <c r="G9" s="134"/>
      <c r="H9" s="32"/>
      <c r="I9" s="139"/>
      <c r="J9" s="140"/>
      <c r="K9" s="140"/>
      <c r="L9" s="140"/>
      <c r="M9" s="140"/>
      <c r="N9" s="140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</row>
    <row r="10" ht="13.8" spans="1:28">
      <c r="A10" s="115"/>
      <c r="B10" s="130">
        <v>2</v>
      </c>
      <c r="C10" s="131"/>
      <c r="D10" s="132" t="s">
        <v>39</v>
      </c>
      <c r="E10" s="131" t="s">
        <v>38</v>
      </c>
      <c r="F10" s="133" t="s">
        <v>38</v>
      </c>
      <c r="G10" s="134"/>
      <c r="H10" s="32"/>
      <c r="I10" s="139"/>
      <c r="J10" s="140"/>
      <c r="K10" s="140"/>
      <c r="L10" s="140"/>
      <c r="M10" s="140"/>
      <c r="N10" s="140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</row>
    <row r="11" ht="13.8" spans="1:28">
      <c r="A11" s="115"/>
      <c r="B11" s="130">
        <v>3</v>
      </c>
      <c r="C11" s="131"/>
      <c r="D11" s="132" t="s">
        <v>40</v>
      </c>
      <c r="E11" s="131" t="s">
        <v>38</v>
      </c>
      <c r="F11" s="133" t="s">
        <v>38</v>
      </c>
      <c r="G11" s="134"/>
      <c r="H11" s="32"/>
      <c r="I11" s="139"/>
      <c r="J11" s="140"/>
      <c r="K11" s="140"/>
      <c r="L11" s="140"/>
      <c r="M11" s="140"/>
      <c r="N11" s="140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</row>
    <row r="12" ht="13.8" spans="1:25">
      <c r="A12" s="115"/>
      <c r="B12" s="130">
        <v>4</v>
      </c>
      <c r="C12" s="135"/>
      <c r="D12" s="132" t="s">
        <v>41</v>
      </c>
      <c r="E12" s="131" t="s">
        <v>38</v>
      </c>
      <c r="F12" s="133" t="s">
        <v>38</v>
      </c>
      <c r="G12" s="134"/>
      <c r="H12" s="32"/>
      <c r="I12" s="140"/>
      <c r="J12" s="140"/>
      <c r="K12" s="140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</row>
    <row r="13" ht="13.8" spans="1:25">
      <c r="A13" s="115"/>
      <c r="B13" s="130">
        <v>5</v>
      </c>
      <c r="C13" s="136"/>
      <c r="D13" s="132" t="s">
        <v>42</v>
      </c>
      <c r="E13" s="131" t="s">
        <v>43</v>
      </c>
      <c r="F13" s="133" t="s">
        <v>43</v>
      </c>
      <c r="G13" s="134"/>
      <c r="H13" s="32"/>
      <c r="I13" s="140"/>
      <c r="J13" s="140"/>
      <c r="K13" s="140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</row>
    <row r="14" ht="13.8" spans="1:25">
      <c r="A14" s="115"/>
      <c r="B14" s="130">
        <v>6</v>
      </c>
      <c r="C14" s="136"/>
      <c r="D14" s="132" t="s">
        <v>44</v>
      </c>
      <c r="E14" s="131" t="s">
        <v>43</v>
      </c>
      <c r="F14" s="133" t="s">
        <v>43</v>
      </c>
      <c r="G14" s="134"/>
      <c r="H14" s="32"/>
      <c r="I14" s="140"/>
      <c r="J14" s="140"/>
      <c r="K14" s="140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</row>
    <row r="15" ht="13.8" spans="1:25">
      <c r="A15" s="115"/>
      <c r="B15" s="130">
        <v>7</v>
      </c>
      <c r="C15" s="136"/>
      <c r="D15" s="132" t="s">
        <v>45</v>
      </c>
      <c r="E15" s="131" t="s">
        <v>46</v>
      </c>
      <c r="F15" s="137" t="s">
        <v>46</v>
      </c>
      <c r="G15" s="134"/>
      <c r="H15" s="32"/>
      <c r="I15" s="140"/>
      <c r="J15" s="140"/>
      <c r="K15" s="140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</row>
    <row r="16" ht="13.8" spans="1:25">
      <c r="A16" s="115"/>
      <c r="B16" s="130">
        <v>8</v>
      </c>
      <c r="C16" s="136"/>
      <c r="D16" s="132" t="s">
        <v>47</v>
      </c>
      <c r="E16" s="131" t="s">
        <v>46</v>
      </c>
      <c r="F16" s="137" t="s">
        <v>46</v>
      </c>
      <c r="G16" s="134"/>
      <c r="H16" s="32"/>
      <c r="I16" s="140"/>
      <c r="J16" s="140"/>
      <c r="K16" s="140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</row>
    <row r="17" ht="13.8" spans="1:25">
      <c r="A17" s="115"/>
      <c r="B17" s="130">
        <v>9</v>
      </c>
      <c r="C17" s="136"/>
      <c r="D17" s="132" t="s">
        <v>48</v>
      </c>
      <c r="E17" s="131" t="s">
        <v>46</v>
      </c>
      <c r="F17" s="137" t="s">
        <v>46</v>
      </c>
      <c r="G17" s="134"/>
      <c r="H17" s="32"/>
      <c r="I17" s="140"/>
      <c r="J17" s="140"/>
      <c r="K17" s="140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</row>
    <row r="18" ht="13.8" spans="1:25">
      <c r="A18" s="115"/>
      <c r="B18" s="130">
        <v>10</v>
      </c>
      <c r="C18" s="136"/>
      <c r="D18" s="132" t="s">
        <v>49</v>
      </c>
      <c r="E18" s="131" t="s">
        <v>46</v>
      </c>
      <c r="F18" s="137" t="s">
        <v>46</v>
      </c>
      <c r="G18" s="134"/>
      <c r="H18" s="32"/>
      <c r="I18" s="140"/>
      <c r="J18" s="140"/>
      <c r="K18" s="140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</row>
    <row r="19" ht="13.8" spans="1:25">
      <c r="A19" s="115"/>
      <c r="B19" s="130">
        <v>11</v>
      </c>
      <c r="C19" s="136"/>
      <c r="D19" s="132" t="s">
        <v>50</v>
      </c>
      <c r="E19" s="131" t="s">
        <v>46</v>
      </c>
      <c r="F19" s="137" t="s">
        <v>46</v>
      </c>
      <c r="G19" s="134"/>
      <c r="H19" s="32"/>
      <c r="I19" s="140"/>
      <c r="J19" s="140"/>
      <c r="K19" s="140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</row>
    <row r="20" ht="13.8" spans="1:25">
      <c r="A20" s="115"/>
      <c r="B20" s="130">
        <v>12</v>
      </c>
      <c r="C20" s="136"/>
      <c r="D20" s="132" t="s">
        <v>51</v>
      </c>
      <c r="E20" s="131" t="s">
        <v>46</v>
      </c>
      <c r="F20" s="137" t="s">
        <v>46</v>
      </c>
      <c r="G20" s="134"/>
      <c r="H20" s="32"/>
      <c r="I20" s="140"/>
      <c r="J20" s="140"/>
      <c r="K20" s="140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</row>
    <row r="21" ht="13.8" spans="1:25">
      <c r="A21" s="115"/>
      <c r="B21" s="130">
        <v>13</v>
      </c>
      <c r="C21" s="136"/>
      <c r="D21" s="132" t="s">
        <v>52</v>
      </c>
      <c r="E21" s="131" t="s">
        <v>53</v>
      </c>
      <c r="F21" s="137" t="s">
        <v>53</v>
      </c>
      <c r="G21" s="134"/>
      <c r="H21" s="32"/>
      <c r="I21" s="140"/>
      <c r="J21" s="140"/>
      <c r="K21" s="140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</row>
    <row r="22" ht="13.8" spans="1:25">
      <c r="A22" s="115"/>
      <c r="B22" s="130">
        <v>14</v>
      </c>
      <c r="C22" s="136"/>
      <c r="D22" s="132" t="s">
        <v>54</v>
      </c>
      <c r="E22" s="131" t="s">
        <v>53</v>
      </c>
      <c r="F22" s="137" t="s">
        <v>53</v>
      </c>
      <c r="G22" s="134"/>
      <c r="H22" s="32"/>
      <c r="I22" s="140"/>
      <c r="J22" s="140"/>
      <c r="K22" s="140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</row>
    <row r="23" ht="13.8" spans="1:25">
      <c r="A23" s="115"/>
      <c r="B23" s="130">
        <v>15</v>
      </c>
      <c r="C23" s="136"/>
      <c r="D23" s="132" t="s">
        <v>55</v>
      </c>
      <c r="E23" s="131" t="s">
        <v>53</v>
      </c>
      <c r="F23" s="137" t="s">
        <v>53</v>
      </c>
      <c r="G23" s="134"/>
      <c r="H23" s="32"/>
      <c r="I23" s="140"/>
      <c r="J23" s="140"/>
      <c r="K23" s="140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</row>
    <row r="24" ht="13.8" spans="1:25">
      <c r="A24" s="115"/>
      <c r="B24" s="130">
        <v>16</v>
      </c>
      <c r="C24" s="136"/>
      <c r="D24" s="132" t="s">
        <v>56</v>
      </c>
      <c r="E24" s="131" t="s">
        <v>53</v>
      </c>
      <c r="F24" s="137" t="s">
        <v>53</v>
      </c>
      <c r="G24" s="134"/>
      <c r="H24" s="32"/>
      <c r="I24" s="140"/>
      <c r="J24" s="140"/>
      <c r="K24" s="140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</row>
    <row r="25" ht="13.8" spans="1:25">
      <c r="A25" s="115"/>
      <c r="B25" s="130">
        <v>17</v>
      </c>
      <c r="C25" s="136"/>
      <c r="D25" s="132" t="s">
        <v>57</v>
      </c>
      <c r="E25" s="131" t="s">
        <v>58</v>
      </c>
      <c r="F25" s="137" t="s">
        <v>58</v>
      </c>
      <c r="G25" s="134"/>
      <c r="H25" s="32"/>
      <c r="I25" s="140"/>
      <c r="J25" s="140"/>
      <c r="K25" s="140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</row>
    <row r="26" ht="13.8" spans="1:25">
      <c r="A26" s="115"/>
      <c r="B26" s="130">
        <v>18</v>
      </c>
      <c r="C26" s="136"/>
      <c r="D26" s="132" t="s">
        <v>59</v>
      </c>
      <c r="E26" s="131" t="s">
        <v>58</v>
      </c>
      <c r="F26" s="137" t="s">
        <v>58</v>
      </c>
      <c r="G26" s="134"/>
      <c r="H26" s="32"/>
      <c r="I26" s="140"/>
      <c r="J26" s="140"/>
      <c r="K26" s="140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</row>
    <row r="27" ht="13.8" spans="1:25">
      <c r="A27" s="115"/>
      <c r="B27" s="130">
        <v>19</v>
      </c>
      <c r="C27" s="136"/>
      <c r="D27" s="132" t="s">
        <v>60</v>
      </c>
      <c r="E27" s="131" t="s">
        <v>58</v>
      </c>
      <c r="F27" s="137" t="s">
        <v>58</v>
      </c>
      <c r="G27" s="134"/>
      <c r="H27" s="32"/>
      <c r="I27" s="140"/>
      <c r="J27" s="140"/>
      <c r="K27" s="140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</row>
    <row r="28" ht="13.8" spans="1:25">
      <c r="A28" s="115"/>
      <c r="B28" s="130">
        <v>20</v>
      </c>
      <c r="C28" s="136"/>
      <c r="D28" s="132" t="s">
        <v>61</v>
      </c>
      <c r="E28" s="131" t="s">
        <v>62</v>
      </c>
      <c r="F28" s="137" t="s">
        <v>62</v>
      </c>
      <c r="G28" s="134"/>
      <c r="H28" s="32"/>
      <c r="I28" s="140"/>
      <c r="J28" s="140"/>
      <c r="K28" s="140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</row>
    <row r="29" ht="13.8" spans="1:25">
      <c r="A29" s="115"/>
      <c r="B29" s="130">
        <v>21</v>
      </c>
      <c r="C29" s="136"/>
      <c r="D29" s="132" t="s">
        <v>63</v>
      </c>
      <c r="E29" s="131" t="s">
        <v>62</v>
      </c>
      <c r="F29" s="137" t="s">
        <v>62</v>
      </c>
      <c r="G29" s="134"/>
      <c r="H29" s="32"/>
      <c r="I29" s="140"/>
      <c r="J29" s="140"/>
      <c r="K29" s="140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</row>
    <row r="30" ht="13.8" spans="1:25">
      <c r="A30" s="115"/>
      <c r="B30" s="130">
        <v>22</v>
      </c>
      <c r="C30" s="136"/>
      <c r="D30" s="132" t="s">
        <v>64</v>
      </c>
      <c r="E30" s="131" t="s">
        <v>62</v>
      </c>
      <c r="F30" s="137" t="s">
        <v>62</v>
      </c>
      <c r="G30" s="134"/>
      <c r="H30" s="32"/>
      <c r="I30" s="140"/>
      <c r="J30" s="140"/>
      <c r="K30" s="140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</row>
    <row r="31" ht="13.8" spans="1:25">
      <c r="A31" s="115"/>
      <c r="B31" s="130">
        <v>23</v>
      </c>
      <c r="C31" s="136"/>
      <c r="D31" s="132" t="s">
        <v>65</v>
      </c>
      <c r="E31" s="131" t="s">
        <v>66</v>
      </c>
      <c r="F31" s="137" t="s">
        <v>66</v>
      </c>
      <c r="G31" s="134"/>
      <c r="H31" s="32"/>
      <c r="I31" s="140"/>
      <c r="J31" s="140"/>
      <c r="K31" s="140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</row>
    <row r="32" ht="13.8" spans="1:25">
      <c r="A32" s="115"/>
      <c r="B32" s="130">
        <v>24</v>
      </c>
      <c r="C32" s="136"/>
      <c r="D32" s="132" t="s">
        <v>67</v>
      </c>
      <c r="E32" s="131" t="s">
        <v>66</v>
      </c>
      <c r="F32" s="137" t="s">
        <v>66</v>
      </c>
      <c r="G32" s="134"/>
      <c r="H32" s="32"/>
      <c r="I32" s="140"/>
      <c r="J32" s="140"/>
      <c r="K32" s="140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</row>
    <row r="33" ht="13.8" spans="1:25">
      <c r="A33" s="115"/>
      <c r="B33" s="130">
        <v>25</v>
      </c>
      <c r="C33" s="136"/>
      <c r="D33" s="132" t="s">
        <v>68</v>
      </c>
      <c r="E33" s="131" t="s">
        <v>66</v>
      </c>
      <c r="F33" s="137" t="s">
        <v>66</v>
      </c>
      <c r="G33" s="134"/>
      <c r="H33" s="32"/>
      <c r="I33" s="140"/>
      <c r="J33" s="140"/>
      <c r="K33" s="140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</row>
    <row r="34" ht="13.8" spans="1:25">
      <c r="A34" s="115"/>
      <c r="B34" s="130">
        <v>26</v>
      </c>
      <c r="C34" s="136"/>
      <c r="D34" s="132" t="s">
        <v>69</v>
      </c>
      <c r="E34" s="131" t="s">
        <v>66</v>
      </c>
      <c r="F34" s="137" t="s">
        <v>66</v>
      </c>
      <c r="G34" s="134"/>
      <c r="H34" s="32"/>
      <c r="I34" s="140"/>
      <c r="J34" s="140"/>
      <c r="K34" s="140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</row>
    <row r="35" ht="13.8" spans="1:25">
      <c r="A35" s="115"/>
      <c r="B35" s="130">
        <v>27</v>
      </c>
      <c r="C35" s="136"/>
      <c r="D35" s="132" t="s">
        <v>70</v>
      </c>
      <c r="E35" s="131" t="s">
        <v>66</v>
      </c>
      <c r="F35" s="137" t="s">
        <v>66</v>
      </c>
      <c r="G35" s="134"/>
      <c r="H35" s="32"/>
      <c r="I35" s="140"/>
      <c r="J35" s="140"/>
      <c r="K35" s="140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</row>
    <row r="36" ht="13.8" spans="1:25">
      <c r="A36" s="115"/>
      <c r="B36" s="130">
        <v>28</v>
      </c>
      <c r="C36" s="136"/>
      <c r="D36" s="132" t="s">
        <v>71</v>
      </c>
      <c r="E36" s="131" t="s">
        <v>66</v>
      </c>
      <c r="F36" s="137" t="s">
        <v>66</v>
      </c>
      <c r="G36" s="134"/>
      <c r="H36" s="32"/>
      <c r="I36" s="140"/>
      <c r="J36" s="140"/>
      <c r="K36" s="140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</row>
    <row r="37" ht="13.8" spans="1:25">
      <c r="A37" s="115"/>
      <c r="B37" s="130">
        <v>29</v>
      </c>
      <c r="C37" s="136"/>
      <c r="D37" s="132" t="s">
        <v>72</v>
      </c>
      <c r="E37" s="131" t="s">
        <v>66</v>
      </c>
      <c r="F37" s="137" t="s">
        <v>66</v>
      </c>
      <c r="G37" s="134"/>
      <c r="H37" s="32"/>
      <c r="I37" s="140"/>
      <c r="J37" s="140"/>
      <c r="K37" s="140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</row>
    <row r="38" ht="13.8" spans="1:25">
      <c r="A38" s="115"/>
      <c r="B38" s="130">
        <v>30</v>
      </c>
      <c r="C38" s="136"/>
      <c r="D38" s="132" t="s">
        <v>73</v>
      </c>
      <c r="E38" s="131" t="s">
        <v>74</v>
      </c>
      <c r="F38" s="137" t="s">
        <v>74</v>
      </c>
      <c r="G38" s="134"/>
      <c r="H38" s="32"/>
      <c r="I38" s="140"/>
      <c r="J38" s="140"/>
      <c r="K38" s="140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</row>
    <row r="39" ht="13.8" spans="1:25">
      <c r="A39" s="115"/>
      <c r="B39" s="130">
        <v>31</v>
      </c>
      <c r="C39" s="136"/>
      <c r="D39" s="132" t="s">
        <v>75</v>
      </c>
      <c r="E39" s="131" t="s">
        <v>74</v>
      </c>
      <c r="F39" s="137" t="s">
        <v>74</v>
      </c>
      <c r="G39" s="134"/>
      <c r="H39" s="32"/>
      <c r="I39" s="140"/>
      <c r="J39" s="140"/>
      <c r="K39" s="140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</row>
    <row r="40" ht="13.8" spans="1:25">
      <c r="A40" s="115"/>
      <c r="B40" s="130">
        <v>32</v>
      </c>
      <c r="C40" s="136"/>
      <c r="D40" s="132" t="s">
        <v>76</v>
      </c>
      <c r="E40" s="131" t="s">
        <v>74</v>
      </c>
      <c r="F40" s="137" t="s">
        <v>74</v>
      </c>
      <c r="G40" s="134"/>
      <c r="H40" s="32"/>
      <c r="I40" s="140"/>
      <c r="J40" s="140"/>
      <c r="K40" s="140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</row>
    <row r="41" ht="13.8" spans="1:25">
      <c r="A41" s="115"/>
      <c r="B41" s="130">
        <v>33</v>
      </c>
      <c r="C41" s="136"/>
      <c r="D41" s="132" t="s">
        <v>77</v>
      </c>
      <c r="E41" s="131" t="s">
        <v>74</v>
      </c>
      <c r="F41" s="137" t="s">
        <v>74</v>
      </c>
      <c r="G41" s="134"/>
      <c r="H41" s="32"/>
      <c r="I41" s="140"/>
      <c r="J41" s="140"/>
      <c r="K41" s="140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</row>
    <row r="42" ht="13.8" spans="1:25">
      <c r="A42" s="115"/>
      <c r="B42" s="130">
        <v>34</v>
      </c>
      <c r="C42" s="136"/>
      <c r="D42" s="132" t="s">
        <v>78</v>
      </c>
      <c r="E42" s="131" t="s">
        <v>74</v>
      </c>
      <c r="F42" s="137" t="s">
        <v>74</v>
      </c>
      <c r="G42" s="134"/>
      <c r="H42" s="32"/>
      <c r="I42" s="140"/>
      <c r="J42" s="140"/>
      <c r="K42" s="140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</row>
    <row r="43" ht="13.8" spans="1:25">
      <c r="A43" s="115"/>
      <c r="B43" s="130">
        <v>35</v>
      </c>
      <c r="C43" s="136"/>
      <c r="D43" s="132" t="s">
        <v>79</v>
      </c>
      <c r="E43" s="131" t="s">
        <v>80</v>
      </c>
      <c r="F43" s="137" t="s">
        <v>80</v>
      </c>
      <c r="G43" s="134"/>
      <c r="H43" s="32"/>
      <c r="I43" s="140"/>
      <c r="J43" s="140"/>
      <c r="K43" s="140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</row>
    <row r="44" ht="13.8" spans="1:25">
      <c r="A44" s="115"/>
      <c r="B44" s="130">
        <v>36</v>
      </c>
      <c r="C44" s="136"/>
      <c r="D44" s="132" t="s">
        <v>70</v>
      </c>
      <c r="E44" s="131" t="s">
        <v>80</v>
      </c>
      <c r="F44" s="137" t="s">
        <v>80</v>
      </c>
      <c r="G44" s="134"/>
      <c r="H44" s="32"/>
      <c r="I44" s="140"/>
      <c r="J44" s="140"/>
      <c r="K44" s="140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</row>
    <row r="45" ht="13.8" spans="1:25">
      <c r="A45" s="115"/>
      <c r="B45" s="130">
        <v>37</v>
      </c>
      <c r="C45" s="136"/>
      <c r="D45" s="132" t="s">
        <v>81</v>
      </c>
      <c r="E45" s="131" t="s">
        <v>80</v>
      </c>
      <c r="F45" s="137" t="s">
        <v>80</v>
      </c>
      <c r="G45" s="134"/>
      <c r="H45" s="32"/>
      <c r="I45" s="140"/>
      <c r="J45" s="140"/>
      <c r="K45" s="140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</row>
    <row r="46" ht="13.8" spans="1:25">
      <c r="A46" s="115"/>
      <c r="B46" s="130">
        <v>38</v>
      </c>
      <c r="C46" s="136"/>
      <c r="D46" s="132" t="s">
        <v>82</v>
      </c>
      <c r="E46" s="131" t="s">
        <v>80</v>
      </c>
      <c r="F46" s="137" t="s">
        <v>80</v>
      </c>
      <c r="G46" s="134"/>
      <c r="H46" s="32"/>
      <c r="I46" s="140"/>
      <c r="J46" s="140"/>
      <c r="K46" s="140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</row>
    <row r="47" ht="13.8" spans="1:25">
      <c r="A47" s="115"/>
      <c r="B47" s="130">
        <v>39</v>
      </c>
      <c r="C47" s="136"/>
      <c r="D47" s="132" t="s">
        <v>83</v>
      </c>
      <c r="E47" s="131" t="s">
        <v>84</v>
      </c>
      <c r="F47" s="137" t="s">
        <v>84</v>
      </c>
      <c r="G47" s="134"/>
      <c r="H47" s="32"/>
      <c r="I47" s="140"/>
      <c r="J47" s="140"/>
      <c r="K47" s="140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</row>
    <row r="48" ht="13.8" spans="1:25">
      <c r="A48" s="115"/>
      <c r="B48" s="130">
        <v>40</v>
      </c>
      <c r="C48" s="136"/>
      <c r="D48" s="132" t="s">
        <v>85</v>
      </c>
      <c r="E48" s="131" t="s">
        <v>84</v>
      </c>
      <c r="F48" s="137" t="s">
        <v>84</v>
      </c>
      <c r="G48" s="134"/>
      <c r="H48" s="32"/>
      <c r="I48" s="140"/>
      <c r="J48" s="140"/>
      <c r="K48" s="140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</row>
    <row r="49" ht="13.8" spans="1:25">
      <c r="A49" s="115"/>
      <c r="B49" s="130">
        <v>41</v>
      </c>
      <c r="C49" s="136"/>
      <c r="D49" s="132" t="s">
        <v>86</v>
      </c>
      <c r="E49" s="131" t="s">
        <v>84</v>
      </c>
      <c r="F49" s="137" t="s">
        <v>84</v>
      </c>
      <c r="G49" s="134"/>
      <c r="H49" s="32"/>
      <c r="I49" s="140"/>
      <c r="J49" s="140"/>
      <c r="K49" s="140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</row>
    <row r="50" ht="13.8" spans="1:25">
      <c r="A50" s="115"/>
      <c r="B50" s="130">
        <v>42</v>
      </c>
      <c r="C50" s="136"/>
      <c r="D50" s="132" t="s">
        <v>87</v>
      </c>
      <c r="E50" s="131" t="s">
        <v>84</v>
      </c>
      <c r="F50" s="137" t="s">
        <v>84</v>
      </c>
      <c r="G50" s="134"/>
      <c r="H50" s="32"/>
      <c r="I50" s="140"/>
      <c r="J50" s="140"/>
      <c r="K50" s="140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</row>
    <row r="51" ht="13.8" spans="1:25">
      <c r="A51" s="115"/>
      <c r="B51" s="130">
        <v>43</v>
      </c>
      <c r="C51" s="136"/>
      <c r="D51" s="132" t="s">
        <v>88</v>
      </c>
      <c r="E51" s="131" t="s">
        <v>84</v>
      </c>
      <c r="F51" s="137" t="s">
        <v>84</v>
      </c>
      <c r="G51" s="134"/>
      <c r="H51" s="32"/>
      <c r="I51" s="140"/>
      <c r="J51" s="140"/>
      <c r="K51" s="140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</row>
    <row r="52" ht="13.8" spans="1:25">
      <c r="A52" s="115"/>
      <c r="B52" s="130">
        <v>44</v>
      </c>
      <c r="C52" s="136"/>
      <c r="D52" s="132" t="s">
        <v>89</v>
      </c>
      <c r="E52" s="131" t="s">
        <v>84</v>
      </c>
      <c r="F52" s="137" t="s">
        <v>84</v>
      </c>
      <c r="G52" s="134"/>
      <c r="H52" s="32"/>
      <c r="I52" s="140"/>
      <c r="J52" s="140"/>
      <c r="K52" s="140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</row>
    <row r="53" ht="13.8" spans="1:25">
      <c r="A53" s="115"/>
      <c r="B53" s="130">
        <v>45</v>
      </c>
      <c r="C53" s="136"/>
      <c r="D53" s="132" t="s">
        <v>90</v>
      </c>
      <c r="E53" s="131" t="s">
        <v>91</v>
      </c>
      <c r="F53" s="137" t="s">
        <v>91</v>
      </c>
      <c r="G53" s="134"/>
      <c r="H53" s="32"/>
      <c r="I53" s="140"/>
      <c r="J53" s="140"/>
      <c r="K53" s="140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</row>
    <row r="54" ht="13.8" spans="1:25">
      <c r="A54" s="115"/>
      <c r="B54" s="130">
        <v>46</v>
      </c>
      <c r="C54" s="136"/>
      <c r="D54" s="132" t="s">
        <v>92</v>
      </c>
      <c r="E54" s="131" t="s">
        <v>91</v>
      </c>
      <c r="F54" s="137" t="s">
        <v>91</v>
      </c>
      <c r="G54" s="134"/>
      <c r="H54" s="32"/>
      <c r="I54" s="140"/>
      <c r="J54" s="140"/>
      <c r="K54" s="140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</row>
    <row r="55" ht="13.8" spans="1:25">
      <c r="A55" s="115"/>
      <c r="B55" s="130">
        <v>47</v>
      </c>
      <c r="C55" s="136"/>
      <c r="D55" s="132" t="s">
        <v>93</v>
      </c>
      <c r="E55" s="131" t="s">
        <v>91</v>
      </c>
      <c r="F55" s="137" t="s">
        <v>91</v>
      </c>
      <c r="G55" s="134"/>
      <c r="H55" s="32"/>
      <c r="I55" s="140"/>
      <c r="J55" s="140"/>
      <c r="K55" s="140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</row>
    <row r="56" ht="13.8" spans="1:25">
      <c r="A56" s="115"/>
      <c r="B56" s="130">
        <v>48</v>
      </c>
      <c r="C56" s="136"/>
      <c r="D56" s="132" t="s">
        <v>94</v>
      </c>
      <c r="E56" s="131" t="s">
        <v>91</v>
      </c>
      <c r="F56" s="137" t="s">
        <v>91</v>
      </c>
      <c r="G56" s="134"/>
      <c r="H56" s="32"/>
      <c r="I56" s="140"/>
      <c r="J56" s="140"/>
      <c r="K56" s="140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</row>
    <row r="57" ht="13.8" spans="1:25">
      <c r="A57" s="115"/>
      <c r="B57" s="130">
        <v>49</v>
      </c>
      <c r="C57" s="136"/>
      <c r="D57" s="132" t="s">
        <v>95</v>
      </c>
      <c r="E57" s="131" t="s">
        <v>91</v>
      </c>
      <c r="F57" s="137" t="s">
        <v>91</v>
      </c>
      <c r="G57" s="134"/>
      <c r="H57" s="32"/>
      <c r="I57" s="140"/>
      <c r="J57" s="140"/>
      <c r="K57" s="140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</row>
    <row r="58" ht="13.8" spans="1:25">
      <c r="A58" s="115"/>
      <c r="B58" s="130">
        <v>50</v>
      </c>
      <c r="C58" s="136"/>
      <c r="D58" s="132" t="s">
        <v>96</v>
      </c>
      <c r="E58" s="131" t="s">
        <v>97</v>
      </c>
      <c r="F58" s="137" t="s">
        <v>97</v>
      </c>
      <c r="G58" s="134"/>
      <c r="H58" s="32"/>
      <c r="I58" s="140"/>
      <c r="J58" s="140"/>
      <c r="K58" s="140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</row>
    <row r="59" ht="13.8" spans="1:25">
      <c r="A59" s="115"/>
      <c r="B59" s="130">
        <v>51</v>
      </c>
      <c r="C59" s="136"/>
      <c r="D59" s="132" t="s">
        <v>98</v>
      </c>
      <c r="E59" s="131" t="s">
        <v>97</v>
      </c>
      <c r="F59" s="137" t="s">
        <v>97</v>
      </c>
      <c r="G59" s="134"/>
      <c r="H59" s="32"/>
      <c r="I59" s="140"/>
      <c r="J59" s="140"/>
      <c r="K59" s="140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</row>
    <row r="60" ht="13.8" spans="1:25">
      <c r="A60" s="115"/>
      <c r="B60" s="130">
        <v>52</v>
      </c>
      <c r="C60" s="136"/>
      <c r="D60" s="132" t="s">
        <v>99</v>
      </c>
      <c r="E60" s="131" t="s">
        <v>97</v>
      </c>
      <c r="F60" s="137" t="s">
        <v>97</v>
      </c>
      <c r="G60" s="134"/>
      <c r="H60" s="32"/>
      <c r="I60" s="140"/>
      <c r="J60" s="140"/>
      <c r="K60" s="140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</row>
    <row r="61" ht="13.8" spans="1:25">
      <c r="A61" s="115"/>
      <c r="B61" s="130">
        <v>53</v>
      </c>
      <c r="C61" s="136"/>
      <c r="D61" s="132" t="s">
        <v>100</v>
      </c>
      <c r="E61" s="131" t="s">
        <v>97</v>
      </c>
      <c r="F61" s="137" t="s">
        <v>97</v>
      </c>
      <c r="G61" s="134"/>
      <c r="H61" s="32"/>
      <c r="I61" s="140"/>
      <c r="J61" s="140"/>
      <c r="K61" s="140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</row>
    <row r="62" ht="13.8" spans="1:25">
      <c r="A62" s="115"/>
      <c r="B62" s="130">
        <v>54</v>
      </c>
      <c r="C62" s="136"/>
      <c r="D62" s="132" t="s">
        <v>101</v>
      </c>
      <c r="E62" s="131" t="s">
        <v>97</v>
      </c>
      <c r="F62" s="137" t="s">
        <v>97</v>
      </c>
      <c r="G62" s="134"/>
      <c r="H62" s="32"/>
      <c r="I62" s="140"/>
      <c r="J62" s="140"/>
      <c r="K62" s="140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</row>
    <row r="63" ht="13.8" spans="1:25">
      <c r="A63" s="115"/>
      <c r="B63" s="130">
        <v>55</v>
      </c>
      <c r="C63" s="136"/>
      <c r="D63" s="132" t="s">
        <v>102</v>
      </c>
      <c r="E63" s="131" t="s">
        <v>97</v>
      </c>
      <c r="F63" s="137" t="s">
        <v>97</v>
      </c>
      <c r="G63" s="138"/>
      <c r="H63" s="32"/>
      <c r="I63" s="140"/>
      <c r="J63" s="140"/>
      <c r="K63" s="140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</row>
    <row r="64" ht="17.25" customHeight="1" spans="1:25">
      <c r="A64" s="115"/>
      <c r="B64" s="130">
        <v>56</v>
      </c>
      <c r="C64" s="136"/>
      <c r="D64" s="132" t="s">
        <v>103</v>
      </c>
      <c r="E64" s="131" t="s">
        <v>97</v>
      </c>
      <c r="F64" s="137" t="s">
        <v>97</v>
      </c>
      <c r="G64" s="134"/>
      <c r="H64" s="32"/>
      <c r="I64" s="140"/>
      <c r="J64" s="140"/>
      <c r="K64" s="140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</row>
    <row r="65" ht="13.8" spans="1:25">
      <c r="A65" s="115"/>
      <c r="B65" s="130">
        <v>57</v>
      </c>
      <c r="C65" s="136"/>
      <c r="D65" s="132" t="s">
        <v>104</v>
      </c>
      <c r="E65" s="131" t="s">
        <v>97</v>
      </c>
      <c r="F65" s="137" t="s">
        <v>97</v>
      </c>
      <c r="G65" s="134"/>
      <c r="H65" s="32"/>
      <c r="I65" s="140"/>
      <c r="J65" s="140"/>
      <c r="K65" s="140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</row>
    <row r="66" ht="13.8" spans="1:25">
      <c r="A66" s="115"/>
      <c r="B66" s="130">
        <v>58</v>
      </c>
      <c r="C66" s="136"/>
      <c r="D66" s="132" t="s">
        <v>105</v>
      </c>
      <c r="E66" s="131" t="s">
        <v>58</v>
      </c>
      <c r="F66" s="137" t="s">
        <v>58</v>
      </c>
      <c r="G66" s="134"/>
      <c r="H66" s="32"/>
      <c r="I66" s="140"/>
      <c r="J66" s="140"/>
      <c r="K66" s="140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</row>
    <row r="67" ht="17.25" customHeight="1" spans="1:25">
      <c r="A67" s="115"/>
      <c r="B67" s="130">
        <v>59</v>
      </c>
      <c r="C67" s="136"/>
      <c r="D67" s="132" t="s">
        <v>106</v>
      </c>
      <c r="E67" s="131" t="s">
        <v>58</v>
      </c>
      <c r="F67" s="137" t="s">
        <v>58</v>
      </c>
      <c r="G67" s="134"/>
      <c r="H67" s="32"/>
      <c r="I67" s="140"/>
      <c r="J67" s="140"/>
      <c r="K67" s="140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</row>
    <row r="68" ht="15.75" customHeight="1" spans="1:25">
      <c r="A68" s="115"/>
      <c r="B68" s="130">
        <v>60</v>
      </c>
      <c r="C68" s="136"/>
      <c r="D68" s="132" t="s">
        <v>107</v>
      </c>
      <c r="E68" s="131" t="s">
        <v>108</v>
      </c>
      <c r="F68" s="137" t="s">
        <v>108</v>
      </c>
      <c r="G68" s="134"/>
      <c r="H68" s="32"/>
      <c r="I68" s="140"/>
      <c r="J68" s="140"/>
      <c r="K68" s="140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</row>
    <row r="69" ht="15.75" customHeight="1" spans="1:25">
      <c r="A69" s="115"/>
      <c r="B69" s="130">
        <v>61</v>
      </c>
      <c r="C69" s="136"/>
      <c r="D69" s="132" t="s">
        <v>109</v>
      </c>
      <c r="E69" s="131" t="s">
        <v>108</v>
      </c>
      <c r="F69" s="137" t="s">
        <v>108</v>
      </c>
      <c r="G69" s="134"/>
      <c r="H69" s="32"/>
      <c r="I69" s="140"/>
      <c r="J69" s="140"/>
      <c r="K69" s="140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</row>
    <row r="70" ht="15.75" customHeight="1" spans="1:25">
      <c r="A70" s="115"/>
      <c r="B70" s="130">
        <v>62</v>
      </c>
      <c r="C70" s="136"/>
      <c r="D70" s="132" t="s">
        <v>110</v>
      </c>
      <c r="E70" s="131" t="s">
        <v>108</v>
      </c>
      <c r="F70" s="137" t="s">
        <v>108</v>
      </c>
      <c r="G70" s="134"/>
      <c r="H70" s="32"/>
      <c r="I70" s="140"/>
      <c r="J70" s="140"/>
      <c r="K70" s="140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</row>
    <row r="71" ht="15.75" customHeight="1" spans="1:25">
      <c r="A71" s="115"/>
      <c r="B71" s="130">
        <v>63</v>
      </c>
      <c r="C71" s="136"/>
      <c r="D71" s="132" t="s">
        <v>111</v>
      </c>
      <c r="E71" s="131" t="s">
        <v>108</v>
      </c>
      <c r="F71" s="137" t="s">
        <v>108</v>
      </c>
      <c r="G71" s="134"/>
      <c r="H71" s="32"/>
      <c r="I71" s="140"/>
      <c r="J71" s="140"/>
      <c r="K71" s="140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</row>
    <row r="72" ht="15.75" customHeight="1" spans="1:25">
      <c r="A72" s="115"/>
      <c r="B72" s="130">
        <v>64</v>
      </c>
      <c r="C72" s="136"/>
      <c r="D72" s="132" t="s">
        <v>112</v>
      </c>
      <c r="E72" s="131" t="s">
        <v>108</v>
      </c>
      <c r="F72" s="137" t="s">
        <v>108</v>
      </c>
      <c r="G72" s="134"/>
      <c r="H72" s="32"/>
      <c r="I72" s="140"/>
      <c r="J72" s="140"/>
      <c r="K72" s="140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</row>
    <row r="73" ht="15.75" customHeight="1" spans="1:25">
      <c r="A73" s="115"/>
      <c r="B73" s="130">
        <v>65</v>
      </c>
      <c r="C73" s="136"/>
      <c r="D73" s="132" t="s">
        <v>113</v>
      </c>
      <c r="E73" s="131" t="s">
        <v>114</v>
      </c>
      <c r="F73" s="137" t="s">
        <v>114</v>
      </c>
      <c r="G73" s="134"/>
      <c r="H73" s="32"/>
      <c r="I73" s="140"/>
      <c r="J73" s="140"/>
      <c r="K73" s="140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</row>
    <row r="74" ht="15.75" customHeight="1" spans="1:25">
      <c r="A74" s="115"/>
      <c r="B74" s="130">
        <v>66</v>
      </c>
      <c r="C74" s="136"/>
      <c r="D74" s="132" t="s">
        <v>115</v>
      </c>
      <c r="E74" s="131" t="s">
        <v>114</v>
      </c>
      <c r="F74" s="137" t="s">
        <v>114</v>
      </c>
      <c r="G74" s="134"/>
      <c r="H74" s="32"/>
      <c r="I74" s="140"/>
      <c r="J74" s="140"/>
      <c r="K74" s="140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</row>
    <row r="75" ht="15.75" customHeight="1" spans="1:25">
      <c r="A75" s="115"/>
      <c r="B75" s="130">
        <v>67</v>
      </c>
      <c r="C75" s="136"/>
      <c r="D75" s="132" t="s">
        <v>116</v>
      </c>
      <c r="E75" s="131" t="s">
        <v>114</v>
      </c>
      <c r="F75" s="137" t="s">
        <v>114</v>
      </c>
      <c r="G75" s="134"/>
      <c r="H75" s="32"/>
      <c r="I75" s="140"/>
      <c r="J75" s="140"/>
      <c r="K75" s="140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</row>
    <row r="76" ht="15.75" customHeight="1" spans="1:25">
      <c r="A76" s="115"/>
      <c r="B76" s="130">
        <v>68</v>
      </c>
      <c r="C76" s="136"/>
      <c r="D76" s="132" t="s">
        <v>117</v>
      </c>
      <c r="E76" s="131" t="s">
        <v>114</v>
      </c>
      <c r="F76" s="137" t="s">
        <v>114</v>
      </c>
      <c r="G76" s="134"/>
      <c r="H76" s="32"/>
      <c r="I76" s="140"/>
      <c r="J76" s="140"/>
      <c r="K76" s="140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</row>
    <row r="77" ht="15.75" customHeight="1" spans="1:25">
      <c r="A77" s="115"/>
      <c r="B77" s="130">
        <v>69</v>
      </c>
      <c r="C77" s="136"/>
      <c r="D77" s="132" t="s">
        <v>118</v>
      </c>
      <c r="E77" s="131" t="s">
        <v>114</v>
      </c>
      <c r="F77" s="137" t="s">
        <v>114</v>
      </c>
      <c r="G77" s="134"/>
      <c r="H77" s="32"/>
      <c r="I77" s="140"/>
      <c r="J77" s="140"/>
      <c r="K77" s="140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</row>
    <row r="78" ht="15.75" customHeight="1" spans="1:25">
      <c r="A78" s="115"/>
      <c r="B78" s="130">
        <v>70</v>
      </c>
      <c r="C78" s="136"/>
      <c r="D78" s="132" t="s">
        <v>119</v>
      </c>
      <c r="E78" s="131" t="s">
        <v>114</v>
      </c>
      <c r="F78" s="137" t="s">
        <v>114</v>
      </c>
      <c r="G78" s="134"/>
      <c r="H78" s="32"/>
      <c r="I78" s="140"/>
      <c r="J78" s="140"/>
      <c r="K78" s="140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</row>
    <row r="79" ht="15.75" customHeight="1" spans="1:28">
      <c r="A79" s="115"/>
      <c r="B79" s="130">
        <v>71</v>
      </c>
      <c r="C79" s="136"/>
      <c r="D79" s="132" t="s">
        <v>120</v>
      </c>
      <c r="E79" s="131" t="s">
        <v>114</v>
      </c>
      <c r="F79" s="137" t="s">
        <v>114</v>
      </c>
      <c r="G79" s="134"/>
      <c r="H79" s="32"/>
      <c r="I79" s="139"/>
      <c r="J79" s="140"/>
      <c r="K79" s="140"/>
      <c r="L79" s="140"/>
      <c r="M79" s="140"/>
      <c r="N79" s="140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</row>
    <row r="80" ht="15.75" customHeight="1" spans="1:28">
      <c r="A80" s="115"/>
      <c r="B80" s="130">
        <v>72</v>
      </c>
      <c r="C80" s="136"/>
      <c r="D80" s="132" t="s">
        <v>121</v>
      </c>
      <c r="E80" s="131" t="s">
        <v>122</v>
      </c>
      <c r="F80" s="137" t="s">
        <v>122</v>
      </c>
      <c r="G80" s="134"/>
      <c r="H80" s="32"/>
      <c r="I80" s="139"/>
      <c r="J80" s="140"/>
      <c r="K80" s="140"/>
      <c r="L80" s="140"/>
      <c r="M80" s="140"/>
      <c r="N80" s="140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</row>
    <row r="81" ht="15.75" customHeight="1" spans="1:28">
      <c r="A81" s="115"/>
      <c r="B81" s="130">
        <v>73</v>
      </c>
      <c r="C81" s="141"/>
      <c r="D81" s="132" t="s">
        <v>123</v>
      </c>
      <c r="E81" s="131" t="s">
        <v>122</v>
      </c>
      <c r="F81" s="137" t="s">
        <v>122</v>
      </c>
      <c r="G81" s="134"/>
      <c r="H81" s="32"/>
      <c r="I81" s="139"/>
      <c r="J81" s="140"/>
      <c r="K81" s="140"/>
      <c r="L81" s="140"/>
      <c r="M81" s="140"/>
      <c r="N81" s="140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</row>
    <row r="82" ht="15.75" customHeight="1" spans="1:28">
      <c r="A82" s="115"/>
      <c r="B82" s="130">
        <v>74</v>
      </c>
      <c r="C82" s="135"/>
      <c r="D82" s="132" t="s">
        <v>124</v>
      </c>
      <c r="E82" s="131" t="s">
        <v>122</v>
      </c>
      <c r="F82" s="137" t="s">
        <v>122</v>
      </c>
      <c r="G82" s="134"/>
      <c r="H82" s="32"/>
      <c r="I82" s="139"/>
      <c r="J82" s="140"/>
      <c r="K82" s="140"/>
      <c r="L82" s="140"/>
      <c r="M82" s="140"/>
      <c r="N82" s="140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</row>
    <row r="83" ht="15.75" customHeight="1" spans="1:28">
      <c r="A83" s="115"/>
      <c r="B83" s="130">
        <v>75</v>
      </c>
      <c r="C83" s="136"/>
      <c r="D83" s="132" t="s">
        <v>125</v>
      </c>
      <c r="E83" s="131" t="s">
        <v>126</v>
      </c>
      <c r="F83" s="137" t="s">
        <v>126</v>
      </c>
      <c r="G83" s="134"/>
      <c r="H83" s="32"/>
      <c r="I83" s="139"/>
      <c r="J83" s="140"/>
      <c r="K83" s="140"/>
      <c r="L83" s="140"/>
      <c r="M83" s="140"/>
      <c r="N83" s="140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</row>
    <row r="84" ht="15.75" customHeight="1" spans="1:28">
      <c r="A84" s="115"/>
      <c r="B84" s="130">
        <v>76</v>
      </c>
      <c r="C84" s="136"/>
      <c r="D84" s="132" t="s">
        <v>127</v>
      </c>
      <c r="E84" s="131" t="s">
        <v>126</v>
      </c>
      <c r="F84" s="137" t="s">
        <v>126</v>
      </c>
      <c r="G84" s="134"/>
      <c r="H84" s="32"/>
      <c r="I84" s="139"/>
      <c r="J84" s="140"/>
      <c r="K84" s="140"/>
      <c r="L84" s="140"/>
      <c r="M84" s="140"/>
      <c r="N84" s="140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</row>
    <row r="85" ht="15.75" customHeight="1" spans="1:28">
      <c r="A85" s="115"/>
      <c r="B85" s="130">
        <v>77</v>
      </c>
      <c r="C85" s="136"/>
      <c r="D85" s="132" t="s">
        <v>128</v>
      </c>
      <c r="E85" s="131" t="s">
        <v>126</v>
      </c>
      <c r="F85" s="137" t="s">
        <v>126</v>
      </c>
      <c r="G85" s="134"/>
      <c r="H85" s="32"/>
      <c r="I85" s="139"/>
      <c r="J85" s="140"/>
      <c r="K85" s="140"/>
      <c r="L85" s="140"/>
      <c r="M85" s="140"/>
      <c r="N85" s="140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</row>
    <row r="86" ht="15.75" customHeight="1" spans="1:28">
      <c r="A86" s="115"/>
      <c r="B86" s="130">
        <v>78</v>
      </c>
      <c r="C86" s="136"/>
      <c r="D86" s="132" t="s">
        <v>129</v>
      </c>
      <c r="E86" s="131" t="s">
        <v>126</v>
      </c>
      <c r="F86" s="137" t="s">
        <v>126</v>
      </c>
      <c r="G86" s="134"/>
      <c r="H86" s="32"/>
      <c r="I86" s="139"/>
      <c r="J86" s="140"/>
      <c r="K86" s="140"/>
      <c r="L86" s="140"/>
      <c r="M86" s="140"/>
      <c r="N86" s="140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</row>
    <row r="87" ht="15.75" customHeight="1" spans="1:28">
      <c r="A87" s="115"/>
      <c r="B87" s="130">
        <v>79</v>
      </c>
      <c r="C87" s="136"/>
      <c r="D87" s="132" t="s">
        <v>130</v>
      </c>
      <c r="E87" s="131" t="s">
        <v>131</v>
      </c>
      <c r="F87" s="137" t="s">
        <v>131</v>
      </c>
      <c r="G87" s="134"/>
      <c r="H87" s="32"/>
      <c r="I87" s="139"/>
      <c r="J87" s="140"/>
      <c r="K87" s="140"/>
      <c r="L87" s="140"/>
      <c r="M87" s="140"/>
      <c r="N87" s="140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</row>
    <row r="88" ht="15.75" customHeight="1" spans="1:28">
      <c r="A88" s="115"/>
      <c r="B88" s="130">
        <v>80</v>
      </c>
      <c r="C88" s="136"/>
      <c r="D88" s="132" t="s">
        <v>132</v>
      </c>
      <c r="E88" s="131" t="s">
        <v>133</v>
      </c>
      <c r="F88" s="137" t="s">
        <v>133</v>
      </c>
      <c r="G88" s="134"/>
      <c r="H88" s="32"/>
      <c r="I88" s="139"/>
      <c r="J88" s="140"/>
      <c r="K88" s="140"/>
      <c r="L88" s="140"/>
      <c r="M88" s="140"/>
      <c r="N88" s="140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</row>
    <row r="89" ht="15.75" customHeight="1" spans="1:28">
      <c r="A89" s="115"/>
      <c r="B89" s="130">
        <v>81</v>
      </c>
      <c r="C89" s="136"/>
      <c r="D89" s="132" t="s">
        <v>134</v>
      </c>
      <c r="E89" s="131" t="s">
        <v>135</v>
      </c>
      <c r="F89" s="137" t="s">
        <v>135</v>
      </c>
      <c r="G89" s="134"/>
      <c r="H89" s="32"/>
      <c r="I89" s="139"/>
      <c r="J89" s="140"/>
      <c r="K89" s="140"/>
      <c r="L89" s="140"/>
      <c r="M89" s="140"/>
      <c r="N89" s="140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</row>
    <row r="90" ht="15.75" customHeight="1" spans="1:28">
      <c r="A90" s="115"/>
      <c r="B90" s="130">
        <v>82</v>
      </c>
      <c r="C90" s="136"/>
      <c r="D90" s="132" t="s">
        <v>136</v>
      </c>
      <c r="E90" s="131" t="s">
        <v>135</v>
      </c>
      <c r="F90" s="137" t="s">
        <v>135</v>
      </c>
      <c r="G90" s="134"/>
      <c r="H90" s="32"/>
      <c r="I90" s="139"/>
      <c r="J90" s="140"/>
      <c r="K90" s="140"/>
      <c r="L90" s="140"/>
      <c r="M90" s="140"/>
      <c r="N90" s="140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</row>
    <row r="91" ht="15.75" customHeight="1" spans="1:28">
      <c r="A91" s="115"/>
      <c r="B91" s="130">
        <v>83</v>
      </c>
      <c r="C91" s="136"/>
      <c r="D91" s="132" t="s">
        <v>137</v>
      </c>
      <c r="E91" s="131" t="s">
        <v>135</v>
      </c>
      <c r="F91" s="137" t="s">
        <v>135</v>
      </c>
      <c r="G91" s="134"/>
      <c r="H91" s="32"/>
      <c r="I91" s="139"/>
      <c r="J91" s="140"/>
      <c r="K91" s="140"/>
      <c r="L91" s="140"/>
      <c r="M91" s="140"/>
      <c r="N91" s="140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</row>
    <row r="92" ht="15.75" customHeight="1" spans="1:28">
      <c r="A92" s="115"/>
      <c r="B92" s="130">
        <v>84</v>
      </c>
      <c r="C92" s="136"/>
      <c r="D92" s="132" t="s">
        <v>138</v>
      </c>
      <c r="E92" s="131" t="s">
        <v>135</v>
      </c>
      <c r="F92" s="137" t="s">
        <v>135</v>
      </c>
      <c r="G92" s="134"/>
      <c r="H92" s="32"/>
      <c r="I92" s="139"/>
      <c r="J92" s="140"/>
      <c r="K92" s="140"/>
      <c r="L92" s="140"/>
      <c r="M92" s="140"/>
      <c r="N92" s="140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</row>
    <row r="93" ht="15.75" customHeight="1" spans="1:28">
      <c r="A93" s="115"/>
      <c r="B93" s="130">
        <v>85</v>
      </c>
      <c r="C93" s="136"/>
      <c r="D93" s="132" t="s">
        <v>139</v>
      </c>
      <c r="E93" s="131" t="s">
        <v>135</v>
      </c>
      <c r="F93" s="137" t="s">
        <v>135</v>
      </c>
      <c r="G93" s="134"/>
      <c r="H93" s="32"/>
      <c r="I93" s="139"/>
      <c r="J93" s="140"/>
      <c r="K93" s="140"/>
      <c r="L93" s="140"/>
      <c r="M93" s="140"/>
      <c r="N93" s="140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</row>
    <row r="94" ht="15.75" customHeight="1" spans="1:28">
      <c r="A94" s="115"/>
      <c r="B94" s="130">
        <v>86</v>
      </c>
      <c r="C94" s="136"/>
      <c r="D94" s="132" t="s">
        <v>140</v>
      </c>
      <c r="E94" s="131" t="s">
        <v>141</v>
      </c>
      <c r="F94" s="137" t="s">
        <v>141</v>
      </c>
      <c r="G94" s="134"/>
      <c r="H94" s="32"/>
      <c r="I94" s="139"/>
      <c r="J94" s="140"/>
      <c r="K94" s="140"/>
      <c r="L94" s="140"/>
      <c r="M94" s="140"/>
      <c r="N94" s="140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</row>
    <row r="95" ht="15.75" customHeight="1" spans="1:28">
      <c r="A95" s="115"/>
      <c r="B95" s="130">
        <v>87</v>
      </c>
      <c r="C95" s="136"/>
      <c r="D95" s="132" t="s">
        <v>142</v>
      </c>
      <c r="E95" s="131" t="s">
        <v>141</v>
      </c>
      <c r="F95" s="137" t="s">
        <v>141</v>
      </c>
      <c r="G95" s="134"/>
      <c r="H95" s="32"/>
      <c r="I95" s="139"/>
      <c r="J95" s="140"/>
      <c r="K95" s="140"/>
      <c r="L95" s="140"/>
      <c r="M95" s="140"/>
      <c r="N95" s="140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</row>
    <row r="96" ht="15.75" customHeight="1" spans="1:28">
      <c r="A96" s="115"/>
      <c r="B96" s="130">
        <v>88</v>
      </c>
      <c r="C96" s="136"/>
      <c r="D96" s="132" t="s">
        <v>143</v>
      </c>
      <c r="E96" s="131" t="s">
        <v>141</v>
      </c>
      <c r="F96" s="137" t="s">
        <v>141</v>
      </c>
      <c r="G96" s="134"/>
      <c r="H96" s="32"/>
      <c r="I96" s="139"/>
      <c r="J96" s="140"/>
      <c r="K96" s="140"/>
      <c r="L96" s="140"/>
      <c r="M96" s="140"/>
      <c r="N96" s="140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</row>
    <row r="97" ht="15.75" customHeight="1" spans="1:28">
      <c r="A97" s="115"/>
      <c r="B97" s="130">
        <v>89</v>
      </c>
      <c r="C97" s="136"/>
      <c r="D97" s="132" t="s">
        <v>144</v>
      </c>
      <c r="E97" s="131" t="s">
        <v>141</v>
      </c>
      <c r="F97" s="137" t="s">
        <v>141</v>
      </c>
      <c r="G97" s="134"/>
      <c r="H97" s="32"/>
      <c r="I97" s="139"/>
      <c r="J97" s="140"/>
      <c r="K97" s="140"/>
      <c r="L97" s="140"/>
      <c r="M97" s="140"/>
      <c r="N97" s="140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</row>
    <row r="98" ht="15.75" customHeight="1" spans="1:28">
      <c r="A98" s="115"/>
      <c r="B98" s="130">
        <v>90</v>
      </c>
      <c r="C98" s="136"/>
      <c r="D98" s="132" t="s">
        <v>145</v>
      </c>
      <c r="E98" s="131" t="s">
        <v>141</v>
      </c>
      <c r="F98" s="137" t="s">
        <v>141</v>
      </c>
      <c r="G98" s="134"/>
      <c r="H98" s="32"/>
      <c r="I98" s="139"/>
      <c r="J98" s="140"/>
      <c r="K98" s="140"/>
      <c r="L98" s="140"/>
      <c r="M98" s="140"/>
      <c r="N98" s="140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</row>
    <row r="99" ht="15.75" customHeight="1" spans="1:28">
      <c r="A99" s="115"/>
      <c r="B99" s="130">
        <v>91</v>
      </c>
      <c r="C99" s="136"/>
      <c r="D99" s="132" t="s">
        <v>146</v>
      </c>
      <c r="E99" s="131" t="s">
        <v>141</v>
      </c>
      <c r="F99" s="137" t="s">
        <v>141</v>
      </c>
      <c r="G99" s="134"/>
      <c r="H99" s="32"/>
      <c r="I99" s="139"/>
      <c r="J99" s="140"/>
      <c r="K99" s="140"/>
      <c r="L99" s="140"/>
      <c r="M99" s="140"/>
      <c r="N99" s="140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</row>
    <row r="100" ht="15.75" customHeight="1" spans="1:28">
      <c r="A100" s="115"/>
      <c r="B100" s="130">
        <v>92</v>
      </c>
      <c r="C100" s="136"/>
      <c r="D100" s="132" t="s">
        <v>147</v>
      </c>
      <c r="E100" s="131" t="s">
        <v>141</v>
      </c>
      <c r="F100" s="137" t="s">
        <v>141</v>
      </c>
      <c r="G100" s="134"/>
      <c r="H100" s="32"/>
      <c r="I100" s="139"/>
      <c r="J100" s="140"/>
      <c r="K100" s="140"/>
      <c r="L100" s="140"/>
      <c r="M100" s="140"/>
      <c r="N100" s="140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</row>
    <row r="101" ht="15.75" customHeight="1" spans="1:28">
      <c r="A101" s="115"/>
      <c r="B101" s="130">
        <v>93</v>
      </c>
      <c r="C101" s="136"/>
      <c r="D101" s="132" t="s">
        <v>148</v>
      </c>
      <c r="E101" s="131" t="s">
        <v>149</v>
      </c>
      <c r="F101" s="137" t="s">
        <v>149</v>
      </c>
      <c r="G101" s="134"/>
      <c r="H101" s="32"/>
      <c r="I101" s="139"/>
      <c r="J101" s="140"/>
      <c r="K101" s="140"/>
      <c r="L101" s="140"/>
      <c r="M101" s="140"/>
      <c r="N101" s="140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</row>
    <row r="102" ht="15.75" customHeight="1" spans="1:28">
      <c r="A102" s="115"/>
      <c r="B102" s="130">
        <v>94</v>
      </c>
      <c r="C102" s="136"/>
      <c r="D102" s="132" t="s">
        <v>150</v>
      </c>
      <c r="E102" s="131" t="s">
        <v>149</v>
      </c>
      <c r="F102" s="137" t="s">
        <v>149</v>
      </c>
      <c r="G102" s="134"/>
      <c r="H102" s="32"/>
      <c r="I102" s="139"/>
      <c r="J102" s="140"/>
      <c r="K102" s="140"/>
      <c r="L102" s="140"/>
      <c r="M102" s="140"/>
      <c r="N102" s="140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</row>
    <row r="103" ht="15.75" customHeight="1" spans="1:28">
      <c r="A103" s="115"/>
      <c r="B103" s="130">
        <v>95</v>
      </c>
      <c r="C103" s="136"/>
      <c r="D103" s="132" t="s">
        <v>151</v>
      </c>
      <c r="E103" s="131" t="s">
        <v>149</v>
      </c>
      <c r="F103" s="137" t="s">
        <v>149</v>
      </c>
      <c r="G103" s="134"/>
      <c r="H103" s="32"/>
      <c r="I103" s="139"/>
      <c r="J103" s="140"/>
      <c r="K103" s="140"/>
      <c r="L103" s="140"/>
      <c r="M103" s="140"/>
      <c r="N103" s="140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</row>
    <row r="104" ht="15.75" customHeight="1" spans="1:28">
      <c r="A104" s="115"/>
      <c r="B104" s="130">
        <v>96</v>
      </c>
      <c r="C104" s="136"/>
      <c r="D104" s="132" t="s">
        <v>152</v>
      </c>
      <c r="E104" s="131" t="s">
        <v>153</v>
      </c>
      <c r="F104" s="137" t="s">
        <v>153</v>
      </c>
      <c r="G104" s="134"/>
      <c r="H104" s="32"/>
      <c r="I104" s="139"/>
      <c r="J104" s="140"/>
      <c r="K104" s="140"/>
      <c r="L104" s="140"/>
      <c r="M104" s="140"/>
      <c r="N104" s="140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</row>
    <row r="105" ht="15.75" customHeight="1" spans="1:28">
      <c r="A105" s="115"/>
      <c r="B105" s="130">
        <v>97</v>
      </c>
      <c r="C105" s="136"/>
      <c r="D105" s="132" t="s">
        <v>154</v>
      </c>
      <c r="E105" s="131" t="s">
        <v>153</v>
      </c>
      <c r="F105" s="137" t="s">
        <v>153</v>
      </c>
      <c r="G105" s="134"/>
      <c r="H105" s="32"/>
      <c r="I105" s="139"/>
      <c r="J105" s="140"/>
      <c r="K105" s="140"/>
      <c r="L105" s="140"/>
      <c r="M105" s="140"/>
      <c r="N105" s="140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</row>
    <row r="106" ht="15.75" customHeight="1" spans="1:28">
      <c r="A106" s="115"/>
      <c r="B106" s="130">
        <v>98</v>
      </c>
      <c r="C106" s="136"/>
      <c r="D106" s="132" t="s">
        <v>155</v>
      </c>
      <c r="E106" s="131" t="s">
        <v>153</v>
      </c>
      <c r="F106" s="137" t="s">
        <v>153</v>
      </c>
      <c r="G106" s="134"/>
      <c r="H106" s="32"/>
      <c r="I106" s="139"/>
      <c r="J106" s="140"/>
      <c r="K106" s="140"/>
      <c r="L106" s="140"/>
      <c r="M106" s="140"/>
      <c r="N106" s="140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</row>
    <row r="107" ht="15.75" customHeight="1" spans="1:28">
      <c r="A107" s="115"/>
      <c r="B107" s="130">
        <v>99</v>
      </c>
      <c r="C107" s="136"/>
      <c r="D107" s="132" t="s">
        <v>156</v>
      </c>
      <c r="E107" s="131" t="s">
        <v>153</v>
      </c>
      <c r="F107" s="137" t="s">
        <v>153</v>
      </c>
      <c r="G107" s="134"/>
      <c r="H107" s="32"/>
      <c r="I107" s="139"/>
      <c r="J107" s="140"/>
      <c r="K107" s="140"/>
      <c r="L107" s="140"/>
      <c r="M107" s="140"/>
      <c r="N107" s="140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</row>
    <row r="108" ht="15.75" customHeight="1" spans="1:28">
      <c r="A108" s="115"/>
      <c r="B108" s="130">
        <v>100</v>
      </c>
      <c r="C108" s="136"/>
      <c r="D108" s="132" t="s">
        <v>157</v>
      </c>
      <c r="E108" s="131" t="s">
        <v>153</v>
      </c>
      <c r="F108" s="137" t="s">
        <v>153</v>
      </c>
      <c r="G108" s="134"/>
      <c r="H108" s="32"/>
      <c r="I108" s="139"/>
      <c r="J108" s="140"/>
      <c r="K108" s="140"/>
      <c r="L108" s="140"/>
      <c r="M108" s="140"/>
      <c r="N108" s="140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</row>
    <row r="109" ht="15.75" customHeight="1" spans="1:28">
      <c r="A109" s="115"/>
      <c r="B109" s="130">
        <v>101</v>
      </c>
      <c r="C109" s="136"/>
      <c r="D109" s="132" t="s">
        <v>158</v>
      </c>
      <c r="E109" s="131" t="s">
        <v>153</v>
      </c>
      <c r="F109" s="137" t="s">
        <v>153</v>
      </c>
      <c r="G109" s="134"/>
      <c r="H109" s="32"/>
      <c r="I109" s="139"/>
      <c r="J109" s="140"/>
      <c r="K109" s="140"/>
      <c r="L109" s="140"/>
      <c r="M109" s="140"/>
      <c r="N109" s="140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</row>
    <row r="110" ht="15.75" customHeight="1" spans="1:28">
      <c r="A110" s="115"/>
      <c r="B110" s="130">
        <v>102</v>
      </c>
      <c r="C110" s="136"/>
      <c r="D110" s="132" t="s">
        <v>159</v>
      </c>
      <c r="E110" s="131" t="s">
        <v>153</v>
      </c>
      <c r="F110" s="137" t="s">
        <v>153</v>
      </c>
      <c r="G110" s="134"/>
      <c r="H110" s="32"/>
      <c r="I110" s="139"/>
      <c r="J110" s="140"/>
      <c r="K110" s="140"/>
      <c r="L110" s="140"/>
      <c r="M110" s="140"/>
      <c r="N110" s="140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</row>
    <row r="111" ht="15.75" customHeight="1" spans="1:28">
      <c r="A111" s="115"/>
      <c r="B111" s="130">
        <v>103</v>
      </c>
      <c r="C111" s="136"/>
      <c r="D111" s="132" t="s">
        <v>160</v>
      </c>
      <c r="E111" s="131" t="s">
        <v>153</v>
      </c>
      <c r="F111" s="137" t="s">
        <v>153</v>
      </c>
      <c r="G111" s="134"/>
      <c r="H111" s="32"/>
      <c r="I111" s="139"/>
      <c r="J111" s="140"/>
      <c r="K111" s="140"/>
      <c r="L111" s="140"/>
      <c r="M111" s="140"/>
      <c r="N111" s="140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</row>
    <row r="112" ht="15.75" customHeight="1" spans="1:28">
      <c r="A112" s="115"/>
      <c r="B112" s="130">
        <v>104</v>
      </c>
      <c r="C112" s="136"/>
      <c r="D112" s="132" t="s">
        <v>161</v>
      </c>
      <c r="E112" s="131" t="s">
        <v>153</v>
      </c>
      <c r="F112" s="137" t="s">
        <v>153</v>
      </c>
      <c r="G112" s="134"/>
      <c r="H112" s="32"/>
      <c r="I112" s="139"/>
      <c r="J112" s="140"/>
      <c r="K112" s="140"/>
      <c r="L112" s="140"/>
      <c r="M112" s="140"/>
      <c r="N112" s="140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</row>
    <row r="113" ht="15.75" customHeight="1" spans="1:28">
      <c r="A113" s="115"/>
      <c r="B113" s="130">
        <v>105</v>
      </c>
      <c r="C113" s="136"/>
      <c r="D113" s="132" t="s">
        <v>162</v>
      </c>
      <c r="E113" s="131" t="s">
        <v>153</v>
      </c>
      <c r="F113" s="137" t="s">
        <v>153</v>
      </c>
      <c r="G113" s="134"/>
      <c r="H113" s="32"/>
      <c r="I113" s="139"/>
      <c r="J113" s="140"/>
      <c r="K113" s="140"/>
      <c r="L113" s="140"/>
      <c r="M113" s="140"/>
      <c r="N113" s="140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</row>
    <row r="114" ht="15.75" customHeight="1" spans="1:28">
      <c r="A114" s="115"/>
      <c r="B114" s="130">
        <v>106</v>
      </c>
      <c r="C114" s="136"/>
      <c r="D114" s="132" t="s">
        <v>163</v>
      </c>
      <c r="E114" s="131" t="s">
        <v>153</v>
      </c>
      <c r="F114" s="137" t="s">
        <v>153</v>
      </c>
      <c r="G114" s="134"/>
      <c r="H114" s="32"/>
      <c r="I114" s="139"/>
      <c r="J114" s="140"/>
      <c r="K114" s="140"/>
      <c r="L114" s="140"/>
      <c r="M114" s="140"/>
      <c r="N114" s="140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</row>
    <row r="115" ht="15.75" customHeight="1" spans="1:28">
      <c r="A115" s="115"/>
      <c r="B115" s="130">
        <v>107</v>
      </c>
      <c r="C115" s="136"/>
      <c r="D115" s="132" t="s">
        <v>164</v>
      </c>
      <c r="E115" s="131" t="s">
        <v>153</v>
      </c>
      <c r="F115" s="137" t="s">
        <v>153</v>
      </c>
      <c r="G115" s="134"/>
      <c r="H115" s="32"/>
      <c r="I115" s="139"/>
      <c r="J115" s="140"/>
      <c r="K115" s="140"/>
      <c r="L115" s="140"/>
      <c r="M115" s="140"/>
      <c r="N115" s="140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</row>
    <row r="116" ht="15.75" customHeight="1" spans="1:28">
      <c r="A116" s="115"/>
      <c r="B116" s="130">
        <v>108</v>
      </c>
      <c r="C116" s="136"/>
      <c r="D116" s="132" t="s">
        <v>165</v>
      </c>
      <c r="E116" s="131" t="s">
        <v>166</v>
      </c>
      <c r="F116" s="137" t="s">
        <v>166</v>
      </c>
      <c r="G116" s="134"/>
      <c r="H116" s="32"/>
      <c r="I116" s="139"/>
      <c r="J116" s="140"/>
      <c r="K116" s="140"/>
      <c r="L116" s="140"/>
      <c r="M116" s="140"/>
      <c r="N116" s="140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</row>
    <row r="117" ht="15.75" customHeight="1" spans="1:28">
      <c r="A117" s="115"/>
      <c r="B117" s="130">
        <v>109</v>
      </c>
      <c r="C117" s="136"/>
      <c r="D117" s="132" t="s">
        <v>167</v>
      </c>
      <c r="E117" s="131" t="s">
        <v>166</v>
      </c>
      <c r="F117" s="137" t="s">
        <v>166</v>
      </c>
      <c r="G117" s="134"/>
      <c r="H117" s="32"/>
      <c r="I117" s="139"/>
      <c r="J117" s="140"/>
      <c r="K117" s="140"/>
      <c r="L117" s="140"/>
      <c r="M117" s="140"/>
      <c r="N117" s="140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</row>
    <row r="118" ht="15.75" customHeight="1" spans="1:28">
      <c r="A118" s="115"/>
      <c r="B118" s="130">
        <v>110</v>
      </c>
      <c r="C118" s="136"/>
      <c r="D118" s="132" t="s">
        <v>168</v>
      </c>
      <c r="E118" s="131" t="s">
        <v>166</v>
      </c>
      <c r="F118" s="137" t="s">
        <v>166</v>
      </c>
      <c r="G118" s="134"/>
      <c r="H118" s="32"/>
      <c r="I118" s="139"/>
      <c r="J118" s="140"/>
      <c r="K118" s="140"/>
      <c r="L118" s="140"/>
      <c r="M118" s="140"/>
      <c r="N118" s="140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</row>
    <row r="119" ht="15.75" customHeight="1" spans="1:28">
      <c r="A119" s="115"/>
      <c r="B119" s="130">
        <v>111</v>
      </c>
      <c r="C119" s="136"/>
      <c r="D119" s="132" t="s">
        <v>169</v>
      </c>
      <c r="E119" s="131" t="s">
        <v>166</v>
      </c>
      <c r="F119" s="137" t="s">
        <v>166</v>
      </c>
      <c r="G119" s="134"/>
      <c r="H119" s="32"/>
      <c r="I119" s="139"/>
      <c r="J119" s="140"/>
      <c r="K119" s="140"/>
      <c r="L119" s="140"/>
      <c r="M119" s="140"/>
      <c r="N119" s="140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</row>
    <row r="120" ht="15.75" customHeight="1" spans="1:28">
      <c r="A120" s="115"/>
      <c r="B120" s="130">
        <v>112</v>
      </c>
      <c r="C120" s="136"/>
      <c r="D120" s="132" t="s">
        <v>170</v>
      </c>
      <c r="E120" s="131" t="s">
        <v>166</v>
      </c>
      <c r="F120" s="137" t="s">
        <v>166</v>
      </c>
      <c r="G120" s="134"/>
      <c r="H120" s="32"/>
      <c r="I120" s="139"/>
      <c r="J120" s="140"/>
      <c r="K120" s="140"/>
      <c r="L120" s="140"/>
      <c r="M120" s="140"/>
      <c r="N120" s="140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</row>
    <row r="121" ht="15.75" customHeight="1" spans="1:28">
      <c r="A121" s="115"/>
      <c r="B121" s="130">
        <v>113</v>
      </c>
      <c r="C121" s="136"/>
      <c r="D121" s="132" t="s">
        <v>171</v>
      </c>
      <c r="E121" s="131" t="s">
        <v>166</v>
      </c>
      <c r="F121" s="137" t="s">
        <v>166</v>
      </c>
      <c r="G121" s="134"/>
      <c r="H121" s="32"/>
      <c r="I121" s="139"/>
      <c r="J121" s="140"/>
      <c r="K121" s="140"/>
      <c r="L121" s="140"/>
      <c r="M121" s="140"/>
      <c r="N121" s="140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</row>
    <row r="122" ht="15.75" customHeight="1" spans="1:28">
      <c r="A122" s="115"/>
      <c r="B122" s="130">
        <v>114</v>
      </c>
      <c r="C122" s="136"/>
      <c r="D122" s="132" t="s">
        <v>172</v>
      </c>
      <c r="E122" s="131" t="s">
        <v>173</v>
      </c>
      <c r="F122" s="137" t="s">
        <v>173</v>
      </c>
      <c r="G122" s="134"/>
      <c r="H122" s="32"/>
      <c r="I122" s="139"/>
      <c r="J122" s="140"/>
      <c r="K122" s="140"/>
      <c r="L122" s="140"/>
      <c r="M122" s="140"/>
      <c r="N122" s="140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</row>
    <row r="123" ht="15.75" customHeight="1" spans="1:28">
      <c r="A123" s="115"/>
      <c r="B123" s="130">
        <v>115</v>
      </c>
      <c r="C123" s="136"/>
      <c r="D123" s="132" t="s">
        <v>174</v>
      </c>
      <c r="E123" s="131" t="s">
        <v>173</v>
      </c>
      <c r="F123" s="137" t="s">
        <v>173</v>
      </c>
      <c r="G123" s="134"/>
      <c r="H123" s="32"/>
      <c r="I123" s="139"/>
      <c r="J123" s="140"/>
      <c r="K123" s="140"/>
      <c r="L123" s="140"/>
      <c r="M123" s="140"/>
      <c r="N123" s="140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</row>
    <row r="124" ht="15.75" customHeight="1" spans="1:28">
      <c r="A124" s="115"/>
      <c r="B124" s="130">
        <v>116</v>
      </c>
      <c r="C124" s="136"/>
      <c r="D124" s="132" t="s">
        <v>175</v>
      </c>
      <c r="E124" s="131" t="s">
        <v>173</v>
      </c>
      <c r="F124" s="137" t="s">
        <v>173</v>
      </c>
      <c r="G124" s="134"/>
      <c r="H124" s="32"/>
      <c r="I124" s="139"/>
      <c r="J124" s="140"/>
      <c r="K124" s="140"/>
      <c r="L124" s="140"/>
      <c r="M124" s="140"/>
      <c r="N124" s="140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</row>
    <row r="125" ht="15.75" customHeight="1" spans="1:28">
      <c r="A125" s="115"/>
      <c r="B125" s="130">
        <v>117</v>
      </c>
      <c r="C125" s="136"/>
      <c r="D125" s="132" t="s">
        <v>176</v>
      </c>
      <c r="E125" s="131" t="s">
        <v>173</v>
      </c>
      <c r="F125" s="137" t="s">
        <v>173</v>
      </c>
      <c r="G125" s="134"/>
      <c r="H125" s="32"/>
      <c r="I125" s="139"/>
      <c r="J125" s="140"/>
      <c r="K125" s="140"/>
      <c r="L125" s="140"/>
      <c r="M125" s="140"/>
      <c r="N125" s="140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</row>
    <row r="126" ht="15.75" customHeight="1" spans="1:28">
      <c r="A126" s="115"/>
      <c r="B126" s="130">
        <v>118</v>
      </c>
      <c r="C126" s="136"/>
      <c r="D126" s="132" t="s">
        <v>177</v>
      </c>
      <c r="E126" s="131" t="s">
        <v>173</v>
      </c>
      <c r="F126" s="137" t="s">
        <v>173</v>
      </c>
      <c r="G126" s="134"/>
      <c r="H126" s="32"/>
      <c r="I126" s="139"/>
      <c r="J126" s="140"/>
      <c r="K126" s="140"/>
      <c r="L126" s="140"/>
      <c r="M126" s="140"/>
      <c r="N126" s="140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</row>
    <row r="127" ht="15.75" customHeight="1" spans="1:28">
      <c r="A127" s="115"/>
      <c r="B127" s="130">
        <v>119</v>
      </c>
      <c r="C127" s="136"/>
      <c r="D127" s="132" t="s">
        <v>178</v>
      </c>
      <c r="E127" s="131" t="s">
        <v>173</v>
      </c>
      <c r="F127" s="137" t="s">
        <v>173</v>
      </c>
      <c r="G127" s="134"/>
      <c r="H127" s="32"/>
      <c r="I127" s="139"/>
      <c r="J127" s="140"/>
      <c r="K127" s="140"/>
      <c r="L127" s="140"/>
      <c r="M127" s="140"/>
      <c r="N127" s="140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</row>
    <row r="128" ht="15.75" customHeight="1" spans="1:28">
      <c r="A128" s="115"/>
      <c r="B128" s="130">
        <v>120</v>
      </c>
      <c r="C128" s="136"/>
      <c r="D128" s="132" t="s">
        <v>179</v>
      </c>
      <c r="E128" s="131" t="s">
        <v>173</v>
      </c>
      <c r="F128" s="137" t="s">
        <v>173</v>
      </c>
      <c r="G128" s="134"/>
      <c r="H128" s="32"/>
      <c r="I128" s="139"/>
      <c r="J128" s="140"/>
      <c r="K128" s="140"/>
      <c r="L128" s="140"/>
      <c r="M128" s="140"/>
      <c r="N128" s="140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</row>
    <row r="129" ht="15.75" customHeight="1" spans="1:28">
      <c r="A129" s="115"/>
      <c r="B129" s="130">
        <v>121</v>
      </c>
      <c r="C129" s="136"/>
      <c r="D129" s="132" t="s">
        <v>180</v>
      </c>
      <c r="E129" s="131" t="s">
        <v>173</v>
      </c>
      <c r="F129" s="137" t="s">
        <v>173</v>
      </c>
      <c r="G129" s="134"/>
      <c r="H129" s="32"/>
      <c r="I129" s="139"/>
      <c r="J129" s="140"/>
      <c r="K129" s="140"/>
      <c r="L129" s="140"/>
      <c r="M129" s="140"/>
      <c r="N129" s="140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</row>
    <row r="130" ht="15.75" customHeight="1" spans="1:28">
      <c r="A130" s="115"/>
      <c r="B130" s="130">
        <v>122</v>
      </c>
      <c r="C130" s="136"/>
      <c r="D130" s="132" t="s">
        <v>181</v>
      </c>
      <c r="E130" s="131" t="s">
        <v>173</v>
      </c>
      <c r="F130" s="137" t="s">
        <v>173</v>
      </c>
      <c r="G130" s="134"/>
      <c r="H130" s="32"/>
      <c r="I130" s="139"/>
      <c r="J130" s="140"/>
      <c r="K130" s="140"/>
      <c r="L130" s="140"/>
      <c r="M130" s="140"/>
      <c r="N130" s="140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</row>
    <row r="131" ht="15.75" customHeight="1" spans="1:28">
      <c r="A131" s="115"/>
      <c r="B131" s="130">
        <v>123</v>
      </c>
      <c r="C131" s="136"/>
      <c r="D131" s="132" t="s">
        <v>182</v>
      </c>
      <c r="E131" s="131" t="s">
        <v>173</v>
      </c>
      <c r="F131" s="137" t="s">
        <v>173</v>
      </c>
      <c r="G131" s="134"/>
      <c r="H131" s="32"/>
      <c r="I131" s="139"/>
      <c r="J131" s="140"/>
      <c r="K131" s="140"/>
      <c r="L131" s="140"/>
      <c r="M131" s="140"/>
      <c r="N131" s="140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</row>
    <row r="132" ht="15.75" customHeight="1" spans="1:28">
      <c r="A132" s="115"/>
      <c r="B132" s="130">
        <v>124</v>
      </c>
      <c r="C132" s="136"/>
      <c r="D132" s="132" t="s">
        <v>183</v>
      </c>
      <c r="E132" s="131" t="s">
        <v>173</v>
      </c>
      <c r="F132" s="137" t="s">
        <v>173</v>
      </c>
      <c r="G132" s="134"/>
      <c r="H132" s="32"/>
      <c r="I132" s="139"/>
      <c r="J132" s="140"/>
      <c r="K132" s="140"/>
      <c r="L132" s="140"/>
      <c r="M132" s="140"/>
      <c r="N132" s="140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</row>
    <row r="133" ht="15.75" customHeight="1" spans="1:28">
      <c r="A133" s="115"/>
      <c r="B133" s="130">
        <v>125</v>
      </c>
      <c r="C133" s="136"/>
      <c r="D133" s="132" t="s">
        <v>184</v>
      </c>
      <c r="E133" s="131" t="s">
        <v>173</v>
      </c>
      <c r="F133" s="137" t="s">
        <v>173</v>
      </c>
      <c r="G133" s="134"/>
      <c r="H133" s="32"/>
      <c r="I133" s="139"/>
      <c r="J133" s="140"/>
      <c r="K133" s="140"/>
      <c r="L133" s="140"/>
      <c r="M133" s="140"/>
      <c r="N133" s="140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</row>
    <row r="134" ht="15.75" customHeight="1" spans="1:28">
      <c r="A134" s="115"/>
      <c r="B134" s="130">
        <v>126</v>
      </c>
      <c r="C134" s="136"/>
      <c r="D134" s="132" t="s">
        <v>185</v>
      </c>
      <c r="E134" s="131" t="s">
        <v>186</v>
      </c>
      <c r="F134" s="137" t="s">
        <v>186</v>
      </c>
      <c r="G134" s="134"/>
      <c r="H134" s="32"/>
      <c r="I134" s="139"/>
      <c r="J134" s="140"/>
      <c r="K134" s="140"/>
      <c r="L134" s="140"/>
      <c r="M134" s="140"/>
      <c r="N134" s="140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</row>
    <row r="135" ht="15.75" customHeight="1" spans="1:28">
      <c r="A135" s="115"/>
      <c r="B135" s="130">
        <v>127</v>
      </c>
      <c r="C135" s="136"/>
      <c r="D135" s="132" t="s">
        <v>187</v>
      </c>
      <c r="E135" s="131" t="s">
        <v>186</v>
      </c>
      <c r="F135" s="137" t="s">
        <v>186</v>
      </c>
      <c r="G135" s="134"/>
      <c r="H135" s="32"/>
      <c r="I135" s="139"/>
      <c r="J135" s="140"/>
      <c r="K135" s="140"/>
      <c r="L135" s="140"/>
      <c r="M135" s="140"/>
      <c r="N135" s="140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</row>
    <row r="136" ht="15.75" customHeight="1" spans="1:28">
      <c r="A136" s="115"/>
      <c r="B136" s="130">
        <v>128</v>
      </c>
      <c r="C136" s="136"/>
      <c r="D136" s="132" t="s">
        <v>188</v>
      </c>
      <c r="E136" s="131" t="s">
        <v>186</v>
      </c>
      <c r="F136" s="137" t="s">
        <v>186</v>
      </c>
      <c r="G136" s="134"/>
      <c r="H136" s="32"/>
      <c r="I136" s="139"/>
      <c r="J136" s="140"/>
      <c r="K136" s="140"/>
      <c r="L136" s="140"/>
      <c r="M136" s="140"/>
      <c r="N136" s="140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</row>
    <row r="137" ht="15.75" customHeight="1" spans="1:28">
      <c r="A137" s="115"/>
      <c r="B137" s="130">
        <v>129</v>
      </c>
      <c r="C137" s="136"/>
      <c r="D137" s="132" t="s">
        <v>189</v>
      </c>
      <c r="E137" s="131" t="s">
        <v>186</v>
      </c>
      <c r="F137" s="137" t="s">
        <v>186</v>
      </c>
      <c r="G137" s="134"/>
      <c r="H137" s="32"/>
      <c r="I137" s="139"/>
      <c r="J137" s="140"/>
      <c r="K137" s="140"/>
      <c r="L137" s="140"/>
      <c r="M137" s="140"/>
      <c r="N137" s="140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</row>
    <row r="138" ht="15.75" customHeight="1" spans="1:28">
      <c r="A138" s="115"/>
      <c r="B138" s="130">
        <v>130</v>
      </c>
      <c r="C138" s="136"/>
      <c r="D138" s="132" t="s">
        <v>190</v>
      </c>
      <c r="E138" s="131" t="s">
        <v>186</v>
      </c>
      <c r="F138" s="137" t="s">
        <v>186</v>
      </c>
      <c r="G138" s="134"/>
      <c r="H138" s="32"/>
      <c r="I138" s="139"/>
      <c r="J138" s="140"/>
      <c r="K138" s="140"/>
      <c r="L138" s="140"/>
      <c r="M138" s="140"/>
      <c r="N138" s="140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</row>
    <row r="139" ht="15.75" customHeight="1" spans="1:28">
      <c r="A139" s="115"/>
      <c r="B139" s="130">
        <v>131</v>
      </c>
      <c r="C139" s="136"/>
      <c r="D139" s="132" t="s">
        <v>191</v>
      </c>
      <c r="E139" s="131" t="s">
        <v>186</v>
      </c>
      <c r="F139" s="137" t="s">
        <v>186</v>
      </c>
      <c r="G139" s="134"/>
      <c r="H139" s="32"/>
      <c r="I139" s="139"/>
      <c r="J139" s="140"/>
      <c r="K139" s="140"/>
      <c r="L139" s="140"/>
      <c r="M139" s="140"/>
      <c r="N139" s="140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</row>
    <row r="140" ht="15.75" customHeight="1" spans="1:28">
      <c r="A140" s="115"/>
      <c r="B140" s="130">
        <v>132</v>
      </c>
      <c r="C140" s="136"/>
      <c r="D140" s="132" t="s">
        <v>192</v>
      </c>
      <c r="E140" s="131" t="s">
        <v>186</v>
      </c>
      <c r="F140" s="137" t="s">
        <v>186</v>
      </c>
      <c r="G140" s="134"/>
      <c r="H140" s="32"/>
      <c r="I140" s="139"/>
      <c r="J140" s="140"/>
      <c r="K140" s="140"/>
      <c r="L140" s="140"/>
      <c r="M140" s="140"/>
      <c r="N140" s="140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</row>
    <row r="141" ht="15.75" customHeight="1" spans="1:28">
      <c r="A141" s="115"/>
      <c r="B141" s="130">
        <v>133</v>
      </c>
      <c r="C141" s="136"/>
      <c r="D141" s="132" t="s">
        <v>193</v>
      </c>
      <c r="E141" s="131" t="s">
        <v>186</v>
      </c>
      <c r="F141" s="137" t="s">
        <v>186</v>
      </c>
      <c r="G141" s="134"/>
      <c r="H141" s="32"/>
      <c r="I141" s="139"/>
      <c r="J141" s="140"/>
      <c r="K141" s="140"/>
      <c r="L141" s="140"/>
      <c r="M141" s="140"/>
      <c r="N141" s="140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</row>
    <row r="142" ht="15.75" customHeight="1" spans="1:28">
      <c r="A142" s="115"/>
      <c r="B142" s="130">
        <v>134</v>
      </c>
      <c r="C142" s="136"/>
      <c r="D142" s="132" t="s">
        <v>194</v>
      </c>
      <c r="E142" s="131" t="s">
        <v>186</v>
      </c>
      <c r="F142" s="137" t="s">
        <v>186</v>
      </c>
      <c r="G142" s="134"/>
      <c r="H142" s="32"/>
      <c r="I142" s="139"/>
      <c r="J142" s="140"/>
      <c r="K142" s="140"/>
      <c r="L142" s="140"/>
      <c r="M142" s="140"/>
      <c r="N142" s="140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</row>
    <row r="143" ht="15.75" customHeight="1" spans="1:28">
      <c r="A143" s="115"/>
      <c r="B143" s="130">
        <v>135</v>
      </c>
      <c r="C143" s="136"/>
      <c r="D143" s="132" t="s">
        <v>195</v>
      </c>
      <c r="E143" s="131" t="s">
        <v>186</v>
      </c>
      <c r="F143" s="137" t="s">
        <v>186</v>
      </c>
      <c r="G143" s="134"/>
      <c r="H143" s="32"/>
      <c r="I143" s="139"/>
      <c r="J143" s="140"/>
      <c r="K143" s="140"/>
      <c r="L143" s="140"/>
      <c r="M143" s="140"/>
      <c r="N143" s="140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</row>
    <row r="144" ht="15.75" customHeight="1" spans="1:28">
      <c r="A144" s="115"/>
      <c r="B144" s="130">
        <v>136</v>
      </c>
      <c r="C144" s="136"/>
      <c r="D144" s="132" t="s">
        <v>196</v>
      </c>
      <c r="E144" s="131" t="s">
        <v>186</v>
      </c>
      <c r="F144" s="137" t="s">
        <v>186</v>
      </c>
      <c r="G144" s="134"/>
      <c r="H144" s="32"/>
      <c r="I144" s="139"/>
      <c r="J144" s="140"/>
      <c r="K144" s="140"/>
      <c r="L144" s="140"/>
      <c r="M144" s="140"/>
      <c r="N144" s="140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</row>
    <row r="145" ht="15.75" customHeight="1" spans="1:28">
      <c r="A145" s="115"/>
      <c r="B145" s="130">
        <v>137</v>
      </c>
      <c r="C145" s="136"/>
      <c r="D145" s="132" t="s">
        <v>197</v>
      </c>
      <c r="E145" s="131" t="s">
        <v>186</v>
      </c>
      <c r="F145" s="137" t="s">
        <v>186</v>
      </c>
      <c r="G145" s="134"/>
      <c r="H145" s="32"/>
      <c r="I145" s="139"/>
      <c r="J145" s="140"/>
      <c r="K145" s="140"/>
      <c r="L145" s="140"/>
      <c r="M145" s="140"/>
      <c r="N145" s="140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</row>
    <row r="146" ht="15.75" customHeight="1" spans="1:28">
      <c r="A146" s="115"/>
      <c r="B146" s="130">
        <v>138</v>
      </c>
      <c r="C146" s="136"/>
      <c r="D146" s="132" t="s">
        <v>198</v>
      </c>
      <c r="E146" s="131" t="s">
        <v>186</v>
      </c>
      <c r="F146" s="137" t="s">
        <v>186</v>
      </c>
      <c r="G146" s="134"/>
      <c r="H146" s="32"/>
      <c r="I146" s="139"/>
      <c r="J146" s="140"/>
      <c r="K146" s="140"/>
      <c r="L146" s="140"/>
      <c r="M146" s="140"/>
      <c r="N146" s="140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</row>
    <row r="147" ht="15.75" customHeight="1" spans="1:28">
      <c r="A147" s="115"/>
      <c r="B147" s="130">
        <v>139</v>
      </c>
      <c r="C147" s="136"/>
      <c r="D147" s="132" t="s">
        <v>199</v>
      </c>
      <c r="E147" s="131" t="s">
        <v>186</v>
      </c>
      <c r="F147" s="137" t="s">
        <v>186</v>
      </c>
      <c r="G147" s="134"/>
      <c r="H147" s="32"/>
      <c r="I147" s="139"/>
      <c r="J147" s="140"/>
      <c r="K147" s="140"/>
      <c r="L147" s="140"/>
      <c r="M147" s="140"/>
      <c r="N147" s="140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</row>
    <row r="148" ht="15.75" customHeight="1" spans="1:28">
      <c r="A148" s="115"/>
      <c r="B148" s="130">
        <v>140</v>
      </c>
      <c r="C148" s="136"/>
      <c r="D148" s="132" t="s">
        <v>200</v>
      </c>
      <c r="E148" s="131" t="s">
        <v>186</v>
      </c>
      <c r="F148" s="137" t="s">
        <v>186</v>
      </c>
      <c r="G148" s="134"/>
      <c r="H148" s="32"/>
      <c r="I148" s="139"/>
      <c r="J148" s="140"/>
      <c r="K148" s="140"/>
      <c r="L148" s="140"/>
      <c r="M148" s="140"/>
      <c r="N148" s="140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</row>
    <row r="149" ht="15.75" customHeight="1" spans="1:28">
      <c r="A149" s="115"/>
      <c r="B149" s="130">
        <v>141</v>
      </c>
      <c r="C149" s="136"/>
      <c r="D149" s="132" t="s">
        <v>201</v>
      </c>
      <c r="E149" s="131" t="s">
        <v>186</v>
      </c>
      <c r="F149" s="137" t="s">
        <v>186</v>
      </c>
      <c r="G149" s="134"/>
      <c r="H149" s="32"/>
      <c r="I149" s="139"/>
      <c r="J149" s="140"/>
      <c r="K149" s="140"/>
      <c r="L149" s="140"/>
      <c r="M149" s="140"/>
      <c r="N149" s="140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</row>
    <row r="150" ht="15.75" customHeight="1" spans="1:28">
      <c r="A150" s="115"/>
      <c r="B150" s="130">
        <v>142</v>
      </c>
      <c r="C150" s="136"/>
      <c r="D150" s="132" t="s">
        <v>202</v>
      </c>
      <c r="E150" s="131" t="s">
        <v>186</v>
      </c>
      <c r="F150" s="137" t="s">
        <v>186</v>
      </c>
      <c r="G150" s="134"/>
      <c r="H150" s="32"/>
      <c r="I150" s="139"/>
      <c r="J150" s="140"/>
      <c r="K150" s="140"/>
      <c r="L150" s="140"/>
      <c r="M150" s="140"/>
      <c r="N150" s="140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</row>
    <row r="151" ht="15.75" customHeight="1" spans="1:28">
      <c r="A151" s="115"/>
      <c r="B151" s="130">
        <v>143</v>
      </c>
      <c r="C151" s="136"/>
      <c r="D151" s="132" t="s">
        <v>203</v>
      </c>
      <c r="E151" s="131" t="s">
        <v>186</v>
      </c>
      <c r="F151" s="137" t="s">
        <v>186</v>
      </c>
      <c r="G151" s="134"/>
      <c r="H151" s="32"/>
      <c r="I151" s="139"/>
      <c r="J151" s="140"/>
      <c r="K151" s="140"/>
      <c r="L151" s="140"/>
      <c r="M151" s="140"/>
      <c r="N151" s="140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</row>
    <row r="152" ht="15.75" customHeight="1" spans="1:28">
      <c r="A152" s="115"/>
      <c r="B152" s="130">
        <v>144</v>
      </c>
      <c r="C152" s="136"/>
      <c r="D152" s="132" t="s">
        <v>204</v>
      </c>
      <c r="E152" s="131" t="s">
        <v>186</v>
      </c>
      <c r="F152" s="137" t="s">
        <v>186</v>
      </c>
      <c r="G152" s="134"/>
      <c r="H152" s="32"/>
      <c r="I152" s="139"/>
      <c r="J152" s="140"/>
      <c r="K152" s="140"/>
      <c r="L152" s="140"/>
      <c r="M152" s="140"/>
      <c r="N152" s="140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</row>
    <row r="153" ht="15.75" customHeight="1" spans="1:28">
      <c r="A153" s="115"/>
      <c r="B153" s="130"/>
      <c r="C153" s="136"/>
      <c r="D153" s="132"/>
      <c r="E153" s="131"/>
      <c r="F153" s="138"/>
      <c r="G153" s="134"/>
      <c r="H153" s="32"/>
      <c r="I153" s="139"/>
      <c r="J153" s="140"/>
      <c r="K153" s="140"/>
      <c r="L153" s="140"/>
      <c r="M153" s="140"/>
      <c r="N153" s="140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</row>
    <row r="154" ht="15.75" customHeight="1" spans="1:28">
      <c r="A154" s="115"/>
      <c r="B154" s="130"/>
      <c r="C154" s="136"/>
      <c r="D154" s="132"/>
      <c r="E154" s="131"/>
      <c r="F154" s="138"/>
      <c r="G154" s="134"/>
      <c r="H154" s="32"/>
      <c r="I154" s="139"/>
      <c r="J154" s="140"/>
      <c r="K154" s="140"/>
      <c r="L154" s="140"/>
      <c r="M154" s="140"/>
      <c r="N154" s="140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</row>
    <row r="155" ht="15.75" customHeight="1" spans="1:28">
      <c r="A155" s="115"/>
      <c r="B155" s="130"/>
      <c r="C155" s="136"/>
      <c r="D155" s="132"/>
      <c r="E155" s="131"/>
      <c r="F155" s="138"/>
      <c r="G155" s="134"/>
      <c r="H155" s="32"/>
      <c r="I155" s="139"/>
      <c r="J155" s="140"/>
      <c r="K155" s="140"/>
      <c r="L155" s="140"/>
      <c r="M155" s="140"/>
      <c r="N155" s="140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</row>
    <row r="156" ht="15.75" customHeight="1" spans="1:28">
      <c r="A156" s="115"/>
      <c r="B156" s="130"/>
      <c r="C156" s="136"/>
      <c r="D156" s="132"/>
      <c r="E156" s="131"/>
      <c r="F156" s="138"/>
      <c r="G156" s="134"/>
      <c r="H156" s="32"/>
      <c r="I156" s="139"/>
      <c r="J156" s="140"/>
      <c r="K156" s="140"/>
      <c r="L156" s="140"/>
      <c r="M156" s="140"/>
      <c r="N156" s="140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</row>
    <row r="157" ht="15.75" customHeight="1" spans="1:28">
      <c r="A157" s="115"/>
      <c r="B157" s="130"/>
      <c r="C157" s="136"/>
      <c r="D157" s="132"/>
      <c r="E157" s="131"/>
      <c r="F157" s="138"/>
      <c r="G157" s="134"/>
      <c r="H157" s="32"/>
      <c r="I157" s="139"/>
      <c r="J157" s="140"/>
      <c r="K157" s="140"/>
      <c r="L157" s="140"/>
      <c r="M157" s="140"/>
      <c r="N157" s="140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</row>
    <row r="158" ht="15.75" customHeight="1" spans="1:28">
      <c r="A158" s="115"/>
      <c r="B158" s="130"/>
      <c r="C158" s="136"/>
      <c r="D158" s="132"/>
      <c r="E158" s="131"/>
      <c r="F158" s="138"/>
      <c r="G158" s="134"/>
      <c r="H158" s="32"/>
      <c r="I158" s="139"/>
      <c r="J158" s="140"/>
      <c r="K158" s="140"/>
      <c r="L158" s="140"/>
      <c r="M158" s="140"/>
      <c r="N158" s="140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</row>
    <row r="159" ht="15.75" customHeight="1" spans="1:28">
      <c r="A159" s="115"/>
      <c r="B159" s="130"/>
      <c r="C159" s="136"/>
      <c r="D159" s="132"/>
      <c r="E159" s="131"/>
      <c r="F159" s="138"/>
      <c r="G159" s="134"/>
      <c r="H159" s="32"/>
      <c r="I159" s="139"/>
      <c r="J159" s="140"/>
      <c r="K159" s="140"/>
      <c r="L159" s="140"/>
      <c r="M159" s="140"/>
      <c r="N159" s="140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</row>
    <row r="160" ht="15.75" customHeight="1" spans="1:28">
      <c r="A160" s="115"/>
      <c r="B160" s="130"/>
      <c r="C160" s="136"/>
      <c r="D160" s="132"/>
      <c r="E160" s="131"/>
      <c r="F160" s="138"/>
      <c r="G160" s="134"/>
      <c r="H160" s="32"/>
      <c r="I160" s="139"/>
      <c r="J160" s="140"/>
      <c r="K160" s="140"/>
      <c r="L160" s="140"/>
      <c r="M160" s="140"/>
      <c r="N160" s="140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</row>
    <row r="161" ht="15.75" customHeight="1" spans="1:28">
      <c r="A161" s="115"/>
      <c r="B161" s="130"/>
      <c r="C161" s="136"/>
      <c r="D161" s="132"/>
      <c r="E161" s="131"/>
      <c r="F161" s="138"/>
      <c r="G161" s="134"/>
      <c r="H161" s="32"/>
      <c r="I161" s="139"/>
      <c r="J161" s="140"/>
      <c r="K161" s="140"/>
      <c r="L161" s="140"/>
      <c r="M161" s="140"/>
      <c r="N161" s="140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</row>
    <row r="162" ht="15.75" customHeight="1" spans="1:28">
      <c r="A162" s="115"/>
      <c r="B162" s="130"/>
      <c r="C162" s="136"/>
      <c r="D162" s="132"/>
      <c r="E162" s="131"/>
      <c r="F162" s="138"/>
      <c r="G162" s="134"/>
      <c r="H162" s="32"/>
      <c r="I162" s="139"/>
      <c r="J162" s="140"/>
      <c r="K162" s="140"/>
      <c r="L162" s="140"/>
      <c r="M162" s="140"/>
      <c r="N162" s="140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</row>
    <row r="163" ht="15.75" customHeight="1" spans="1:28">
      <c r="A163" s="115"/>
      <c r="B163" s="130"/>
      <c r="C163" s="136"/>
      <c r="D163" s="132"/>
      <c r="E163" s="131"/>
      <c r="F163" s="138"/>
      <c r="G163" s="134"/>
      <c r="H163" s="32"/>
      <c r="I163" s="139"/>
      <c r="J163" s="140"/>
      <c r="K163" s="140"/>
      <c r="L163" s="140"/>
      <c r="M163" s="140"/>
      <c r="N163" s="140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</row>
    <row r="164" ht="15.75" customHeight="1" spans="1:28">
      <c r="A164" s="115"/>
      <c r="B164" s="130"/>
      <c r="C164" s="136"/>
      <c r="D164" s="132"/>
      <c r="E164" s="131"/>
      <c r="F164" s="138"/>
      <c r="G164" s="134"/>
      <c r="H164" s="32"/>
      <c r="I164" s="139"/>
      <c r="J164" s="140"/>
      <c r="K164" s="140"/>
      <c r="L164" s="140"/>
      <c r="M164" s="140"/>
      <c r="N164" s="140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</row>
    <row r="165" ht="15.75" customHeight="1" spans="1:28">
      <c r="A165" s="115"/>
      <c r="B165" s="130"/>
      <c r="C165" s="136"/>
      <c r="D165" s="132"/>
      <c r="E165" s="131"/>
      <c r="F165" s="138"/>
      <c r="G165" s="134"/>
      <c r="H165" s="32"/>
      <c r="I165" s="139"/>
      <c r="J165" s="140"/>
      <c r="K165" s="140"/>
      <c r="L165" s="140"/>
      <c r="M165" s="140"/>
      <c r="N165" s="140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</row>
    <row r="166" ht="15.75" customHeight="1" spans="1:28">
      <c r="A166" s="115"/>
      <c r="B166" s="130"/>
      <c r="C166" s="136"/>
      <c r="D166" s="132"/>
      <c r="E166" s="131"/>
      <c r="F166" s="138"/>
      <c r="G166" s="134"/>
      <c r="H166" s="32"/>
      <c r="I166" s="139"/>
      <c r="J166" s="140"/>
      <c r="K166" s="140"/>
      <c r="L166" s="140"/>
      <c r="M166" s="140"/>
      <c r="N166" s="140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</row>
    <row r="167" ht="15.75" customHeight="1" spans="1:28">
      <c r="A167" s="115"/>
      <c r="B167" s="130"/>
      <c r="C167" s="136"/>
      <c r="D167" s="132"/>
      <c r="E167" s="131"/>
      <c r="F167" s="138"/>
      <c r="G167" s="134"/>
      <c r="H167" s="32"/>
      <c r="I167" s="139"/>
      <c r="J167" s="140"/>
      <c r="K167" s="140"/>
      <c r="L167" s="140"/>
      <c r="M167" s="140"/>
      <c r="N167" s="140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</row>
    <row r="168" ht="15.75" customHeight="1" spans="1:28">
      <c r="A168" s="115"/>
      <c r="B168" s="130"/>
      <c r="C168" s="141"/>
      <c r="D168" s="132"/>
      <c r="E168" s="131"/>
      <c r="F168" s="138"/>
      <c r="G168" s="134"/>
      <c r="H168" s="32"/>
      <c r="I168" s="139"/>
      <c r="J168" s="140"/>
      <c r="K168" s="140"/>
      <c r="L168" s="140"/>
      <c r="M168" s="140"/>
      <c r="N168" s="140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</row>
    <row r="169" ht="15.75" customHeight="1" spans="1:28">
      <c r="A169" s="115"/>
      <c r="B169" s="130"/>
      <c r="C169" s="135"/>
      <c r="D169" s="132"/>
      <c r="E169" s="131"/>
      <c r="F169" s="138"/>
      <c r="G169" s="132"/>
      <c r="H169" s="32"/>
      <c r="I169" s="139"/>
      <c r="J169" s="140"/>
      <c r="K169" s="140"/>
      <c r="L169" s="140"/>
      <c r="M169" s="140"/>
      <c r="N169" s="140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</row>
    <row r="170" ht="15.75" customHeight="1" spans="1:28">
      <c r="A170" s="115"/>
      <c r="B170" s="130"/>
      <c r="C170" s="142"/>
      <c r="D170" s="132"/>
      <c r="E170" s="131"/>
      <c r="F170" s="138"/>
      <c r="G170" s="132"/>
      <c r="H170" s="32"/>
      <c r="I170" s="139"/>
      <c r="J170" s="140"/>
      <c r="K170" s="140"/>
      <c r="L170" s="140"/>
      <c r="M170" s="140"/>
      <c r="N170" s="140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</row>
    <row r="171" ht="12.75" customHeight="1" spans="1:28">
      <c r="A171" s="115"/>
      <c r="B171" s="143"/>
      <c r="C171" s="144"/>
      <c r="D171" s="145"/>
      <c r="E171" s="144"/>
      <c r="F171" s="144"/>
      <c r="G171" s="145"/>
      <c r="H171" s="146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</row>
    <row r="172" ht="12.75" customHeight="1" spans="1:28">
      <c r="A172" s="115"/>
      <c r="B172" s="143"/>
      <c r="C172" s="144"/>
      <c r="D172" s="145"/>
      <c r="E172" s="144"/>
      <c r="F172" s="144"/>
      <c r="G172" s="145"/>
      <c r="H172" s="146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</row>
    <row r="173" ht="12.75" customHeight="1" spans="1:28">
      <c r="A173" s="115"/>
      <c r="B173" s="143"/>
      <c r="C173" s="144"/>
      <c r="D173" s="145"/>
      <c r="E173" s="144"/>
      <c r="F173" s="144"/>
      <c r="G173" s="145"/>
      <c r="H173" s="146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</row>
    <row r="174" ht="12.75" customHeight="1" spans="1:28">
      <c r="A174" s="115"/>
      <c r="B174" s="143"/>
      <c r="C174" s="144"/>
      <c r="D174" s="145"/>
      <c r="E174" s="144"/>
      <c r="F174" s="144"/>
      <c r="G174" s="145"/>
      <c r="H174" s="146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</row>
    <row r="175" ht="12.75" customHeight="1" spans="1:28">
      <c r="A175" s="115"/>
      <c r="B175" s="143"/>
      <c r="C175" s="144"/>
      <c r="D175" s="145"/>
      <c r="E175" s="144"/>
      <c r="F175" s="144"/>
      <c r="G175" s="145"/>
      <c r="H175" s="146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</row>
    <row r="176" ht="12.75" customHeight="1" spans="1:28">
      <c r="A176" s="115"/>
      <c r="B176" s="143"/>
      <c r="C176" s="144"/>
      <c r="D176" s="145"/>
      <c r="E176" s="144"/>
      <c r="F176" s="144"/>
      <c r="G176" s="145"/>
      <c r="H176" s="146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</row>
    <row r="177" ht="12.75" customHeight="1" spans="1:28">
      <c r="A177" s="115"/>
      <c r="B177" s="143"/>
      <c r="C177" s="144"/>
      <c r="D177" s="145"/>
      <c r="E177" s="144"/>
      <c r="F177" s="144"/>
      <c r="G177" s="145"/>
      <c r="H177" s="146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</row>
    <row r="178" ht="12.75" customHeight="1" spans="1:28">
      <c r="A178" s="115"/>
      <c r="B178" s="143"/>
      <c r="C178" s="144"/>
      <c r="D178" s="145"/>
      <c r="E178" s="144"/>
      <c r="F178" s="144"/>
      <c r="G178" s="145"/>
      <c r="H178" s="146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</row>
    <row r="179" ht="12.75" customHeight="1" spans="1:28">
      <c r="A179" s="115"/>
      <c r="B179" s="143"/>
      <c r="C179" s="144"/>
      <c r="D179" s="145"/>
      <c r="E179" s="144"/>
      <c r="F179" s="144"/>
      <c r="G179" s="145"/>
      <c r="H179" s="146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</row>
    <row r="180" ht="12.75" customHeight="1" spans="1:28">
      <c r="A180" s="115"/>
      <c r="B180" s="143"/>
      <c r="C180" s="144"/>
      <c r="D180" s="145"/>
      <c r="E180" s="144"/>
      <c r="F180" s="144"/>
      <c r="G180" s="145"/>
      <c r="H180" s="146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</row>
    <row r="181" ht="12.75" customHeight="1" spans="1:28">
      <c r="A181" s="115"/>
      <c r="B181" s="143"/>
      <c r="C181" s="144"/>
      <c r="D181" s="145"/>
      <c r="E181" s="144"/>
      <c r="F181" s="144"/>
      <c r="G181" s="145"/>
      <c r="H181" s="146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</row>
    <row r="182" ht="12.75" customHeight="1" spans="1:28">
      <c r="A182" s="115"/>
      <c r="B182" s="143"/>
      <c r="C182" s="144"/>
      <c r="D182" s="145"/>
      <c r="E182" s="144"/>
      <c r="F182" s="144"/>
      <c r="G182" s="145"/>
      <c r="H182" s="146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</row>
    <row r="183" ht="12.75" customHeight="1" spans="1:28">
      <c r="A183" s="115"/>
      <c r="B183" s="143"/>
      <c r="C183" s="144"/>
      <c r="D183" s="145"/>
      <c r="E183" s="144"/>
      <c r="F183" s="144"/>
      <c r="G183" s="145"/>
      <c r="H183" s="146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</row>
    <row r="184" ht="12.75" customHeight="1" spans="1:28">
      <c r="A184" s="115"/>
      <c r="B184" s="143"/>
      <c r="C184" s="144"/>
      <c r="D184" s="145"/>
      <c r="E184" s="144"/>
      <c r="F184" s="144"/>
      <c r="G184" s="145"/>
      <c r="H184" s="146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</row>
    <row r="185" ht="12.75" customHeight="1" spans="1:28">
      <c r="A185" s="115"/>
      <c r="B185" s="143"/>
      <c r="C185" s="144"/>
      <c r="D185" s="145"/>
      <c r="E185" s="144"/>
      <c r="F185" s="144"/>
      <c r="G185" s="145"/>
      <c r="H185" s="146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</row>
    <row r="186" ht="12.75" customHeight="1" spans="1:28">
      <c r="A186" s="115"/>
      <c r="B186" s="143"/>
      <c r="C186" s="144"/>
      <c r="D186" s="145"/>
      <c r="E186" s="144"/>
      <c r="F186" s="144"/>
      <c r="G186" s="145"/>
      <c r="H186" s="146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</row>
    <row r="187" ht="12.75" customHeight="1" spans="1:28">
      <c r="A187" s="115"/>
      <c r="B187" s="143"/>
      <c r="C187" s="144"/>
      <c r="D187" s="145"/>
      <c r="E187" s="144"/>
      <c r="F187" s="144"/>
      <c r="G187" s="145"/>
      <c r="H187" s="146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</row>
    <row r="188" ht="12.75" customHeight="1" spans="1:28">
      <c r="A188" s="115"/>
      <c r="B188" s="143"/>
      <c r="C188" s="144"/>
      <c r="D188" s="145"/>
      <c r="E188" s="144"/>
      <c r="F188" s="144"/>
      <c r="G188" s="145"/>
      <c r="H188" s="146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</row>
    <row r="189" ht="12.75" customHeight="1" spans="1:28">
      <c r="A189" s="115"/>
      <c r="B189" s="143"/>
      <c r="C189" s="144"/>
      <c r="D189" s="145"/>
      <c r="E189" s="144"/>
      <c r="F189" s="144"/>
      <c r="G189" s="145"/>
      <c r="H189" s="146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</row>
    <row r="190" ht="12.75" customHeight="1" spans="1:28">
      <c r="A190" s="115"/>
      <c r="B190" s="143"/>
      <c r="C190" s="144"/>
      <c r="D190" s="145"/>
      <c r="E190" s="144"/>
      <c r="F190" s="144"/>
      <c r="G190" s="145"/>
      <c r="H190" s="146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</row>
    <row r="191" ht="12.75" customHeight="1" spans="1:28">
      <c r="A191" s="115"/>
      <c r="B191" s="143"/>
      <c r="C191" s="144"/>
      <c r="D191" s="145"/>
      <c r="E191" s="144"/>
      <c r="F191" s="144"/>
      <c r="G191" s="145"/>
      <c r="H191" s="146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</row>
    <row r="192" ht="12.75" customHeight="1" spans="1:28">
      <c r="A192" s="115"/>
      <c r="B192" s="143"/>
      <c r="C192" s="144"/>
      <c r="D192" s="145"/>
      <c r="E192" s="144"/>
      <c r="F192" s="144"/>
      <c r="G192" s="145"/>
      <c r="H192" s="146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</row>
    <row r="193" ht="12.75" customHeight="1" spans="1:28">
      <c r="A193" s="115"/>
      <c r="B193" s="143"/>
      <c r="C193" s="144"/>
      <c r="D193" s="145"/>
      <c r="E193" s="144"/>
      <c r="F193" s="144"/>
      <c r="G193" s="145"/>
      <c r="H193" s="146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</row>
    <row r="194" ht="12.75" customHeight="1" spans="1:28">
      <c r="A194" s="115"/>
      <c r="B194" s="143"/>
      <c r="C194" s="144"/>
      <c r="D194" s="145"/>
      <c r="E194" s="144"/>
      <c r="F194" s="144"/>
      <c r="G194" s="145"/>
      <c r="H194" s="146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</row>
    <row r="195" ht="12.75" customHeight="1" spans="1:28">
      <c r="A195" s="115"/>
      <c r="B195" s="143"/>
      <c r="C195" s="144"/>
      <c r="D195" s="145"/>
      <c r="E195" s="144"/>
      <c r="F195" s="144"/>
      <c r="G195" s="145"/>
      <c r="H195" s="146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</row>
    <row r="196" ht="12.75" customHeight="1" spans="1:28">
      <c r="A196" s="115"/>
      <c r="B196" s="143"/>
      <c r="C196" s="144"/>
      <c r="D196" s="145"/>
      <c r="E196" s="144"/>
      <c r="F196" s="144"/>
      <c r="G196" s="145"/>
      <c r="H196" s="146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</row>
    <row r="197" ht="12.75" customHeight="1" spans="1:28">
      <c r="A197" s="115"/>
      <c r="B197" s="143"/>
      <c r="C197" s="144"/>
      <c r="D197" s="145"/>
      <c r="E197" s="144"/>
      <c r="F197" s="144"/>
      <c r="G197" s="145"/>
      <c r="H197" s="146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</row>
    <row r="198" ht="12.75" customHeight="1" spans="1:28">
      <c r="A198" s="115"/>
      <c r="B198" s="143"/>
      <c r="C198" s="144"/>
      <c r="D198" s="145"/>
      <c r="E198" s="144"/>
      <c r="F198" s="144"/>
      <c r="G198" s="145"/>
      <c r="H198" s="146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</row>
    <row r="199" ht="12.75" customHeight="1" spans="1:28">
      <c r="A199" s="115"/>
      <c r="B199" s="143"/>
      <c r="C199" s="144"/>
      <c r="D199" s="145"/>
      <c r="E199" s="144"/>
      <c r="F199" s="144"/>
      <c r="G199" s="145"/>
      <c r="H199" s="146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</row>
    <row r="200" ht="12.75" customHeight="1" spans="1:28">
      <c r="A200" s="115"/>
      <c r="B200" s="143"/>
      <c r="C200" s="144"/>
      <c r="D200" s="145"/>
      <c r="E200" s="144"/>
      <c r="F200" s="144"/>
      <c r="G200" s="145"/>
      <c r="H200" s="146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</row>
    <row r="201" ht="12.75" customHeight="1" spans="1:28">
      <c r="A201" s="115"/>
      <c r="B201" s="143"/>
      <c r="C201" s="144"/>
      <c r="D201" s="145"/>
      <c r="E201" s="144"/>
      <c r="F201" s="144"/>
      <c r="G201" s="145"/>
      <c r="H201" s="146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</row>
    <row r="202" ht="12.75" customHeight="1" spans="1:28">
      <c r="A202" s="115"/>
      <c r="B202" s="143"/>
      <c r="C202" s="144"/>
      <c r="D202" s="145"/>
      <c r="E202" s="144"/>
      <c r="F202" s="144"/>
      <c r="G202" s="145"/>
      <c r="H202" s="146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</row>
    <row r="203" ht="12.75" customHeight="1" spans="1:28">
      <c r="A203" s="115"/>
      <c r="B203" s="143"/>
      <c r="C203" s="144"/>
      <c r="D203" s="145"/>
      <c r="E203" s="144"/>
      <c r="F203" s="144"/>
      <c r="G203" s="145"/>
      <c r="H203" s="146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</row>
    <row r="204" ht="12.75" customHeight="1" spans="1:28">
      <c r="A204" s="115"/>
      <c r="B204" s="143"/>
      <c r="C204" s="144"/>
      <c r="D204" s="145"/>
      <c r="E204" s="144"/>
      <c r="F204" s="144"/>
      <c r="G204" s="145"/>
      <c r="H204" s="146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</row>
    <row r="205" ht="12.75" customHeight="1" spans="1:28">
      <c r="A205" s="115"/>
      <c r="B205" s="143"/>
      <c r="C205" s="144"/>
      <c r="D205" s="145"/>
      <c r="E205" s="144"/>
      <c r="F205" s="144"/>
      <c r="G205" s="145"/>
      <c r="H205" s="146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</row>
    <row r="206" ht="12.75" customHeight="1" spans="1:28">
      <c r="A206" s="115"/>
      <c r="B206" s="143"/>
      <c r="C206" s="144"/>
      <c r="D206" s="145"/>
      <c r="E206" s="144"/>
      <c r="F206" s="144"/>
      <c r="G206" s="145"/>
      <c r="H206" s="146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</row>
    <row r="207" ht="12.75" customHeight="1" spans="1:28">
      <c r="A207" s="115"/>
      <c r="B207" s="143"/>
      <c r="C207" s="144"/>
      <c r="D207" s="145"/>
      <c r="E207" s="144"/>
      <c r="F207" s="144"/>
      <c r="G207" s="145"/>
      <c r="H207" s="146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</row>
    <row r="208" ht="12.75" customHeight="1" spans="1:28">
      <c r="A208" s="115"/>
      <c r="B208" s="143"/>
      <c r="C208" s="144"/>
      <c r="D208" s="145"/>
      <c r="E208" s="144"/>
      <c r="F208" s="144"/>
      <c r="G208" s="145"/>
      <c r="H208" s="146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</row>
    <row r="209" ht="12.75" customHeight="1" spans="1:28">
      <c r="A209" s="115"/>
      <c r="B209" s="143"/>
      <c r="C209" s="144"/>
      <c r="D209" s="145"/>
      <c r="E209" s="144"/>
      <c r="F209" s="144"/>
      <c r="G209" s="145"/>
      <c r="H209" s="146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</row>
    <row r="210" ht="12.75" customHeight="1" spans="1:28">
      <c r="A210" s="115"/>
      <c r="B210" s="143"/>
      <c r="C210" s="144"/>
      <c r="D210" s="145"/>
      <c r="E210" s="144"/>
      <c r="F210" s="144"/>
      <c r="G210" s="145"/>
      <c r="H210" s="146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</row>
    <row r="211" ht="12.75" customHeight="1" spans="1:28">
      <c r="A211" s="115"/>
      <c r="B211" s="143"/>
      <c r="C211" s="144"/>
      <c r="D211" s="145"/>
      <c r="E211" s="144"/>
      <c r="F211" s="144"/>
      <c r="G211" s="145"/>
      <c r="H211" s="146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</row>
    <row r="212" ht="12.75" customHeight="1" spans="1:28">
      <c r="A212" s="115"/>
      <c r="B212" s="143"/>
      <c r="C212" s="144"/>
      <c r="D212" s="145"/>
      <c r="E212" s="144"/>
      <c r="F212" s="144"/>
      <c r="G212" s="145"/>
      <c r="H212" s="146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</row>
    <row r="213" ht="12.75" customHeight="1" spans="1:28">
      <c r="A213" s="115"/>
      <c r="B213" s="143"/>
      <c r="C213" s="144"/>
      <c r="D213" s="145"/>
      <c r="E213" s="144"/>
      <c r="F213" s="144"/>
      <c r="G213" s="145"/>
      <c r="H213" s="146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</row>
    <row r="214" ht="12.75" customHeight="1" spans="1:28">
      <c r="A214" s="115"/>
      <c r="B214" s="143"/>
      <c r="C214" s="144"/>
      <c r="D214" s="145"/>
      <c r="E214" s="144"/>
      <c r="F214" s="144"/>
      <c r="G214" s="145"/>
      <c r="H214" s="146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</row>
    <row r="215" ht="12.75" customHeight="1" spans="1:28">
      <c r="A215" s="115"/>
      <c r="B215" s="143"/>
      <c r="C215" s="144"/>
      <c r="D215" s="145"/>
      <c r="E215" s="144"/>
      <c r="F215" s="144"/>
      <c r="G215" s="145"/>
      <c r="H215" s="146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</row>
    <row r="216" ht="12.75" customHeight="1" spans="1:28">
      <c r="A216" s="115"/>
      <c r="B216" s="143"/>
      <c r="C216" s="144"/>
      <c r="D216" s="145"/>
      <c r="E216" s="144"/>
      <c r="F216" s="144"/>
      <c r="G216" s="145"/>
      <c r="H216" s="146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</row>
    <row r="217" ht="12.75" customHeight="1" spans="1:28">
      <c r="A217" s="115"/>
      <c r="B217" s="143"/>
      <c r="C217" s="144"/>
      <c r="D217" s="145"/>
      <c r="E217" s="144"/>
      <c r="F217" s="144"/>
      <c r="G217" s="145"/>
      <c r="H217" s="146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</row>
    <row r="218" ht="12.75" customHeight="1" spans="1:28">
      <c r="A218" s="115"/>
      <c r="B218" s="143"/>
      <c r="C218" s="144"/>
      <c r="D218" s="145"/>
      <c r="E218" s="144"/>
      <c r="F218" s="144"/>
      <c r="G218" s="145"/>
      <c r="H218" s="146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</row>
    <row r="219" ht="12.75" customHeight="1" spans="1:28">
      <c r="A219" s="115"/>
      <c r="B219" s="143"/>
      <c r="C219" s="144"/>
      <c r="D219" s="145"/>
      <c r="E219" s="144"/>
      <c r="F219" s="144"/>
      <c r="G219" s="145"/>
      <c r="H219" s="146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</row>
    <row r="220" ht="12.75" customHeight="1" spans="1:28">
      <c r="A220" s="115"/>
      <c r="B220" s="143"/>
      <c r="C220" s="144"/>
      <c r="D220" s="145"/>
      <c r="E220" s="144"/>
      <c r="F220" s="144"/>
      <c r="G220" s="145"/>
      <c r="H220" s="146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</row>
    <row r="221" ht="12.75" customHeight="1" spans="1:28">
      <c r="A221" s="115"/>
      <c r="B221" s="143"/>
      <c r="C221" s="144"/>
      <c r="D221" s="145"/>
      <c r="E221" s="144"/>
      <c r="F221" s="144"/>
      <c r="G221" s="145"/>
      <c r="H221" s="146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</row>
    <row r="222" ht="12.75" customHeight="1" spans="1:28">
      <c r="A222" s="115"/>
      <c r="B222" s="143"/>
      <c r="C222" s="144"/>
      <c r="D222" s="145"/>
      <c r="E222" s="144"/>
      <c r="F222" s="144"/>
      <c r="G222" s="145"/>
      <c r="H222" s="146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</row>
    <row r="223" ht="12.75" customHeight="1" spans="1:28">
      <c r="A223" s="115"/>
      <c r="B223" s="147"/>
      <c r="C223" s="148"/>
      <c r="D223" s="149"/>
      <c r="E223" s="148"/>
      <c r="F223" s="148"/>
      <c r="G223" s="149"/>
      <c r="H223" s="150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</row>
    <row r="224" ht="12.75" customHeight="1" spans="1:28">
      <c r="A224" s="115"/>
      <c r="B224" s="151"/>
      <c r="C224" s="121"/>
      <c r="D224" s="121"/>
      <c r="E224" s="121"/>
      <c r="F224" s="121"/>
      <c r="G224" s="121"/>
      <c r="H224" s="121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</row>
    <row r="225" ht="12.75" customHeight="1" spans="1:28">
      <c r="A225" s="115"/>
      <c r="B225" s="151"/>
      <c r="C225" s="121"/>
      <c r="D225" s="121"/>
      <c r="E225" s="121"/>
      <c r="F225" s="121"/>
      <c r="G225" s="121"/>
      <c r="H225" s="121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</row>
    <row r="226" ht="12.75" customHeight="1" spans="1:28">
      <c r="A226" s="115"/>
      <c r="B226" s="151"/>
      <c r="C226" s="121"/>
      <c r="D226" s="121"/>
      <c r="E226" s="121"/>
      <c r="F226" s="121"/>
      <c r="G226" s="121"/>
      <c r="H226" s="121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</row>
    <row r="227" ht="12.75" customHeight="1" spans="1:28">
      <c r="A227" s="115"/>
      <c r="B227" s="151"/>
      <c r="C227" s="121"/>
      <c r="D227" s="121"/>
      <c r="E227" s="121"/>
      <c r="F227" s="121"/>
      <c r="G227" s="121"/>
      <c r="H227" s="121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</row>
    <row r="228" ht="12.75" customHeight="1" spans="1:28">
      <c r="A228" s="115"/>
      <c r="B228" s="151"/>
      <c r="C228" s="121"/>
      <c r="D228" s="121"/>
      <c r="E228" s="121"/>
      <c r="F228" s="121"/>
      <c r="G228" s="121"/>
      <c r="H228" s="121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</row>
    <row r="229" ht="12.75" customHeight="1" spans="1:28">
      <c r="A229" s="115"/>
      <c r="B229" s="151"/>
      <c r="C229" s="121"/>
      <c r="D229" s="121"/>
      <c r="E229" s="121"/>
      <c r="F229" s="121"/>
      <c r="G229" s="121"/>
      <c r="H229" s="121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</row>
    <row r="230" ht="12.75" customHeight="1" spans="1:28">
      <c r="A230" s="115"/>
      <c r="B230" s="151"/>
      <c r="C230" s="121"/>
      <c r="D230" s="121"/>
      <c r="E230" s="121"/>
      <c r="F230" s="121"/>
      <c r="G230" s="121"/>
      <c r="H230" s="121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</row>
    <row r="231" ht="12.75" customHeight="1" spans="1:28">
      <c r="A231" s="115"/>
      <c r="B231" s="151"/>
      <c r="C231" s="121"/>
      <c r="D231" s="121"/>
      <c r="E231" s="121"/>
      <c r="F231" s="121"/>
      <c r="G231" s="121"/>
      <c r="H231" s="121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</row>
    <row r="232" ht="12.75" customHeight="1" spans="1:28">
      <c r="A232" s="115"/>
      <c r="B232" s="151"/>
      <c r="C232" s="121"/>
      <c r="D232" s="121"/>
      <c r="E232" s="121"/>
      <c r="F232" s="121"/>
      <c r="G232" s="121"/>
      <c r="H232" s="121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</row>
    <row r="233" ht="12.75" customHeight="1" spans="1:28">
      <c r="A233" s="115"/>
      <c r="B233" s="151"/>
      <c r="C233" s="121"/>
      <c r="D233" s="121"/>
      <c r="E233" s="121"/>
      <c r="F233" s="121"/>
      <c r="G233" s="121"/>
      <c r="H233" s="121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</row>
    <row r="234" ht="12.75" customHeight="1" spans="1:28">
      <c r="A234" s="115"/>
      <c r="B234" s="151"/>
      <c r="C234" s="121"/>
      <c r="D234" s="121"/>
      <c r="E234" s="121"/>
      <c r="F234" s="121"/>
      <c r="G234" s="121"/>
      <c r="H234" s="121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</row>
    <row r="235" ht="12.75" customHeight="1" spans="1:28">
      <c r="A235" s="115"/>
      <c r="B235" s="151"/>
      <c r="C235" s="121"/>
      <c r="D235" s="121"/>
      <c r="E235" s="121"/>
      <c r="F235" s="121"/>
      <c r="G235" s="121"/>
      <c r="H235" s="121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</row>
    <row r="236" ht="12.75" customHeight="1" spans="1:28">
      <c r="A236" s="115"/>
      <c r="B236" s="151"/>
      <c r="C236" s="121"/>
      <c r="D236" s="121"/>
      <c r="E236" s="121"/>
      <c r="F236" s="121"/>
      <c r="G236" s="121"/>
      <c r="H236" s="121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</row>
    <row r="237" ht="12.75" customHeight="1" spans="1:28">
      <c r="A237" s="115"/>
      <c r="B237" s="151"/>
      <c r="C237" s="121"/>
      <c r="D237" s="121"/>
      <c r="E237" s="121"/>
      <c r="F237" s="121"/>
      <c r="G237" s="121"/>
      <c r="H237" s="121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</row>
    <row r="238" ht="12.75" customHeight="1" spans="1:28">
      <c r="A238" s="115"/>
      <c r="B238" s="151"/>
      <c r="C238" s="121"/>
      <c r="D238" s="121"/>
      <c r="E238" s="121"/>
      <c r="F238" s="121"/>
      <c r="G238" s="121"/>
      <c r="H238" s="121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</row>
    <row r="239" ht="12.75" customHeight="1" spans="1:28">
      <c r="A239" s="115"/>
      <c r="B239" s="151"/>
      <c r="C239" s="121"/>
      <c r="D239" s="121"/>
      <c r="E239" s="121"/>
      <c r="F239" s="121"/>
      <c r="G239" s="121"/>
      <c r="H239" s="121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</row>
    <row r="240" ht="12.75" customHeight="1" spans="1:28">
      <c r="A240" s="115"/>
      <c r="B240" s="151"/>
      <c r="C240" s="121"/>
      <c r="D240" s="121"/>
      <c r="E240" s="121"/>
      <c r="F240" s="121"/>
      <c r="G240" s="121"/>
      <c r="H240" s="121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</row>
    <row r="241" ht="12.75" customHeight="1" spans="1:28">
      <c r="A241" s="115"/>
      <c r="B241" s="151"/>
      <c r="C241" s="121"/>
      <c r="D241" s="121"/>
      <c r="E241" s="121"/>
      <c r="F241" s="121"/>
      <c r="G241" s="121"/>
      <c r="H241" s="121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</row>
    <row r="242" ht="12.75" customHeight="1" spans="1:28">
      <c r="A242" s="115"/>
      <c r="B242" s="151"/>
      <c r="C242" s="121"/>
      <c r="D242" s="121"/>
      <c r="E242" s="121"/>
      <c r="F242" s="121"/>
      <c r="G242" s="121"/>
      <c r="H242" s="121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</row>
    <row r="243" ht="12.75" customHeight="1" spans="1:28">
      <c r="A243" s="115"/>
      <c r="B243" s="151"/>
      <c r="C243" s="121"/>
      <c r="D243" s="121"/>
      <c r="E243" s="121"/>
      <c r="F243" s="121"/>
      <c r="G243" s="121"/>
      <c r="H243" s="121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</row>
    <row r="244" ht="12.75" customHeight="1" spans="1:28">
      <c r="A244" s="115"/>
      <c r="B244" s="151"/>
      <c r="C244" s="121"/>
      <c r="D244" s="121"/>
      <c r="E244" s="121"/>
      <c r="F244" s="121"/>
      <c r="G244" s="121"/>
      <c r="H244" s="121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</row>
    <row r="245" ht="12.75" customHeight="1" spans="1:28">
      <c r="A245" s="115"/>
      <c r="B245" s="151"/>
      <c r="C245" s="121"/>
      <c r="D245" s="121"/>
      <c r="E245" s="121"/>
      <c r="F245" s="121"/>
      <c r="G245" s="121"/>
      <c r="H245" s="121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</row>
    <row r="246" ht="12.75" customHeight="1" spans="1:28">
      <c r="A246" s="115"/>
      <c r="B246" s="151"/>
      <c r="C246" s="121"/>
      <c r="D246" s="121"/>
      <c r="E246" s="121"/>
      <c r="F246" s="121"/>
      <c r="G246" s="121"/>
      <c r="H246" s="121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</row>
    <row r="247" ht="12.75" customHeight="1" spans="1:28">
      <c r="A247" s="115"/>
      <c r="B247" s="151"/>
      <c r="C247" s="121"/>
      <c r="D247" s="121"/>
      <c r="E247" s="121"/>
      <c r="F247" s="121"/>
      <c r="G247" s="121"/>
      <c r="H247" s="121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</row>
    <row r="248" ht="12.75" customHeight="1" spans="1:28">
      <c r="A248" s="115"/>
      <c r="B248" s="151"/>
      <c r="C248" s="121"/>
      <c r="D248" s="121"/>
      <c r="E248" s="121"/>
      <c r="F248" s="121"/>
      <c r="G248" s="121"/>
      <c r="H248" s="121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</row>
    <row r="249" ht="12.75" customHeight="1" spans="1:28">
      <c r="A249" s="115"/>
      <c r="B249" s="151"/>
      <c r="C249" s="121"/>
      <c r="D249" s="121"/>
      <c r="E249" s="121"/>
      <c r="F249" s="121"/>
      <c r="G249" s="121"/>
      <c r="H249" s="121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</row>
    <row r="250" ht="12.75" customHeight="1" spans="1:28">
      <c r="A250" s="115"/>
      <c r="B250" s="151"/>
      <c r="C250" s="121"/>
      <c r="D250" s="121"/>
      <c r="E250" s="121"/>
      <c r="F250" s="121"/>
      <c r="G250" s="121"/>
      <c r="H250" s="121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</row>
    <row r="251" ht="12.75" customHeight="1" spans="1:28">
      <c r="A251" s="115"/>
      <c r="B251" s="151"/>
      <c r="C251" s="121"/>
      <c r="D251" s="121"/>
      <c r="E251" s="121"/>
      <c r="F251" s="121"/>
      <c r="G251" s="121"/>
      <c r="H251" s="121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</row>
    <row r="252" ht="12.75" customHeight="1" spans="1:28">
      <c r="A252" s="115"/>
      <c r="B252" s="151"/>
      <c r="C252" s="121"/>
      <c r="D252" s="121"/>
      <c r="E252" s="121"/>
      <c r="F252" s="121"/>
      <c r="G252" s="121"/>
      <c r="H252" s="121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</row>
    <row r="253" ht="12.75" customHeight="1" spans="1:28">
      <c r="A253" s="115"/>
      <c r="B253" s="151"/>
      <c r="C253" s="121"/>
      <c r="D253" s="121"/>
      <c r="E253" s="121"/>
      <c r="F253" s="121"/>
      <c r="G253" s="121"/>
      <c r="H253" s="121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</row>
    <row r="254" ht="12.75" customHeight="1" spans="1:28">
      <c r="A254" s="115"/>
      <c r="B254" s="151"/>
      <c r="C254" s="121"/>
      <c r="D254" s="121"/>
      <c r="E254" s="121"/>
      <c r="F254" s="121"/>
      <c r="G254" s="121"/>
      <c r="H254" s="121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</row>
    <row r="255" ht="12.75" customHeight="1" spans="1:28">
      <c r="A255" s="115"/>
      <c r="B255" s="151"/>
      <c r="C255" s="121"/>
      <c r="D255" s="121"/>
      <c r="E255" s="121"/>
      <c r="F255" s="121"/>
      <c r="G255" s="121"/>
      <c r="H255" s="121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</row>
    <row r="256" ht="12.75" customHeight="1" spans="1:28">
      <c r="A256" s="115"/>
      <c r="B256" s="151"/>
      <c r="C256" s="121"/>
      <c r="D256" s="121"/>
      <c r="E256" s="121"/>
      <c r="F256" s="121"/>
      <c r="G256" s="121"/>
      <c r="H256" s="121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</row>
    <row r="257" ht="12.75" customHeight="1" spans="1:28">
      <c r="A257" s="115"/>
      <c r="B257" s="151"/>
      <c r="C257" s="121"/>
      <c r="D257" s="121"/>
      <c r="E257" s="121"/>
      <c r="F257" s="121"/>
      <c r="G257" s="121"/>
      <c r="H257" s="121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</row>
    <row r="258" ht="12.75" customHeight="1" spans="1:28">
      <c r="A258" s="115"/>
      <c r="B258" s="151"/>
      <c r="C258" s="121"/>
      <c r="D258" s="121"/>
      <c r="E258" s="121"/>
      <c r="F258" s="121"/>
      <c r="G258" s="121"/>
      <c r="H258" s="121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</row>
    <row r="259" ht="12.75" customHeight="1" spans="1:28">
      <c r="A259" s="115"/>
      <c r="B259" s="151"/>
      <c r="C259" s="121"/>
      <c r="D259" s="121"/>
      <c r="E259" s="121"/>
      <c r="F259" s="121"/>
      <c r="G259" s="121"/>
      <c r="H259" s="121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</row>
    <row r="260" ht="12.75" customHeight="1" spans="1:28">
      <c r="A260" s="115"/>
      <c r="B260" s="151"/>
      <c r="C260" s="121"/>
      <c r="D260" s="121"/>
      <c r="E260" s="121"/>
      <c r="F260" s="121"/>
      <c r="G260" s="121"/>
      <c r="H260" s="121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</row>
    <row r="261" ht="12.75" customHeight="1" spans="1:28">
      <c r="A261" s="115"/>
      <c r="B261" s="151"/>
      <c r="C261" s="121"/>
      <c r="D261" s="121"/>
      <c r="E261" s="121"/>
      <c r="F261" s="121"/>
      <c r="G261" s="121"/>
      <c r="H261" s="121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</row>
    <row r="262" ht="12.75" customHeight="1" spans="1:28">
      <c r="A262" s="115"/>
      <c r="B262" s="151"/>
      <c r="C262" s="121"/>
      <c r="D262" s="121"/>
      <c r="E262" s="121"/>
      <c r="F262" s="121"/>
      <c r="G262" s="121"/>
      <c r="H262" s="121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</row>
    <row r="263" ht="12.75" customHeight="1" spans="1:28">
      <c r="A263" s="115"/>
      <c r="B263" s="151"/>
      <c r="C263" s="121"/>
      <c r="D263" s="121"/>
      <c r="E263" s="121"/>
      <c r="F263" s="121"/>
      <c r="G263" s="121"/>
      <c r="H263" s="121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</row>
    <row r="264" ht="12.75" customHeight="1" spans="1:28">
      <c r="A264" s="115"/>
      <c r="B264" s="151"/>
      <c r="C264" s="121"/>
      <c r="D264" s="121"/>
      <c r="E264" s="121"/>
      <c r="F264" s="121"/>
      <c r="G264" s="121"/>
      <c r="H264" s="121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</row>
    <row r="265" ht="12.75" customHeight="1" spans="1:28">
      <c r="A265" s="115"/>
      <c r="B265" s="151"/>
      <c r="C265" s="121"/>
      <c r="D265" s="121"/>
      <c r="E265" s="121"/>
      <c r="F265" s="121"/>
      <c r="G265" s="121"/>
      <c r="H265" s="121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</row>
    <row r="266" ht="12.75" customHeight="1" spans="1:28">
      <c r="A266" s="115"/>
      <c r="B266" s="151"/>
      <c r="C266" s="121"/>
      <c r="D266" s="121"/>
      <c r="E266" s="121"/>
      <c r="F266" s="121"/>
      <c r="G266" s="121"/>
      <c r="H266" s="121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</row>
    <row r="267" ht="12.75" customHeight="1" spans="1:28">
      <c r="A267" s="115"/>
      <c r="B267" s="151"/>
      <c r="C267" s="121"/>
      <c r="D267" s="121"/>
      <c r="E267" s="121"/>
      <c r="F267" s="121"/>
      <c r="G267" s="121"/>
      <c r="H267" s="121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</row>
    <row r="268" ht="12.75" customHeight="1" spans="1:28">
      <c r="A268" s="115"/>
      <c r="B268" s="151"/>
      <c r="C268" s="121"/>
      <c r="D268" s="121"/>
      <c r="E268" s="121"/>
      <c r="F268" s="121"/>
      <c r="G268" s="121"/>
      <c r="H268" s="121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</row>
    <row r="269" ht="12.75" customHeight="1" spans="1:28">
      <c r="A269" s="115"/>
      <c r="B269" s="151"/>
      <c r="C269" s="121"/>
      <c r="D269" s="121"/>
      <c r="E269" s="121"/>
      <c r="F269" s="121"/>
      <c r="G269" s="121"/>
      <c r="H269" s="121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</row>
    <row r="270" ht="12.75" customHeight="1" spans="1:28">
      <c r="A270" s="115"/>
      <c r="B270" s="151"/>
      <c r="C270" s="121"/>
      <c r="D270" s="121"/>
      <c r="E270" s="121"/>
      <c r="F270" s="121"/>
      <c r="G270" s="121"/>
      <c r="H270" s="121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</row>
    <row r="271" ht="12.75" customHeight="1" spans="1:28">
      <c r="A271" s="115"/>
      <c r="B271" s="151"/>
      <c r="C271" s="121"/>
      <c r="D271" s="121"/>
      <c r="E271" s="121"/>
      <c r="F271" s="121"/>
      <c r="G271" s="121"/>
      <c r="H271" s="121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</row>
    <row r="272" ht="12.75" customHeight="1" spans="1:28">
      <c r="A272" s="115"/>
      <c r="B272" s="151"/>
      <c r="C272" s="121"/>
      <c r="D272" s="121"/>
      <c r="E272" s="121"/>
      <c r="F272" s="121"/>
      <c r="G272" s="121"/>
      <c r="H272" s="121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</row>
    <row r="273" ht="12.75" customHeight="1" spans="1:28">
      <c r="A273" s="115"/>
      <c r="B273" s="151"/>
      <c r="C273" s="121"/>
      <c r="D273" s="121"/>
      <c r="E273" s="121"/>
      <c r="F273" s="121"/>
      <c r="G273" s="121"/>
      <c r="H273" s="121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</row>
    <row r="274" ht="12.75" customHeight="1" spans="1:28">
      <c r="A274" s="115"/>
      <c r="B274" s="151"/>
      <c r="C274" s="121"/>
      <c r="D274" s="121"/>
      <c r="E274" s="121"/>
      <c r="F274" s="121"/>
      <c r="G274" s="121"/>
      <c r="H274" s="121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</row>
    <row r="275" ht="12.75" customHeight="1" spans="1:28">
      <c r="A275" s="115"/>
      <c r="B275" s="151"/>
      <c r="C275" s="121"/>
      <c r="D275" s="121"/>
      <c r="E275" s="121"/>
      <c r="F275" s="121"/>
      <c r="G275" s="121"/>
      <c r="H275" s="121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</row>
    <row r="276" ht="12.75" customHeight="1" spans="1:28">
      <c r="A276" s="115"/>
      <c r="B276" s="151"/>
      <c r="C276" s="121"/>
      <c r="D276" s="121"/>
      <c r="E276" s="121"/>
      <c r="F276" s="121"/>
      <c r="G276" s="121"/>
      <c r="H276" s="121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</row>
    <row r="277" ht="12.75" customHeight="1" spans="1:28">
      <c r="A277" s="115"/>
      <c r="B277" s="151"/>
      <c r="C277" s="121"/>
      <c r="D277" s="121"/>
      <c r="E277" s="121"/>
      <c r="F277" s="121"/>
      <c r="G277" s="121"/>
      <c r="H277" s="121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</row>
    <row r="278" ht="12.75" customHeight="1" spans="1:28">
      <c r="A278" s="115"/>
      <c r="B278" s="151"/>
      <c r="C278" s="121"/>
      <c r="D278" s="121"/>
      <c r="E278" s="121"/>
      <c r="F278" s="121"/>
      <c r="G278" s="121"/>
      <c r="H278" s="121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</row>
    <row r="279" ht="12.75" customHeight="1" spans="1:28">
      <c r="A279" s="115"/>
      <c r="B279" s="151"/>
      <c r="C279" s="121"/>
      <c r="D279" s="121"/>
      <c r="E279" s="121"/>
      <c r="F279" s="121"/>
      <c r="G279" s="121"/>
      <c r="H279" s="121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</row>
    <row r="280" ht="12.75" customHeight="1" spans="1:28">
      <c r="A280" s="115"/>
      <c r="B280" s="151"/>
      <c r="C280" s="121"/>
      <c r="D280" s="121"/>
      <c r="E280" s="121"/>
      <c r="F280" s="121"/>
      <c r="G280" s="121"/>
      <c r="H280" s="121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</row>
    <row r="281" ht="12.75" customHeight="1" spans="1:28">
      <c r="A281" s="115"/>
      <c r="B281" s="151"/>
      <c r="C281" s="121"/>
      <c r="D281" s="121"/>
      <c r="E281" s="121"/>
      <c r="F281" s="121"/>
      <c r="G281" s="121"/>
      <c r="H281" s="121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</row>
    <row r="282" ht="12.75" customHeight="1" spans="1:28">
      <c r="A282" s="115"/>
      <c r="B282" s="151"/>
      <c r="C282" s="121"/>
      <c r="D282" s="121"/>
      <c r="E282" s="121"/>
      <c r="F282" s="121"/>
      <c r="G282" s="121"/>
      <c r="H282" s="121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</row>
    <row r="283" ht="12.75" customHeight="1" spans="1:28">
      <c r="A283" s="115"/>
      <c r="B283" s="151"/>
      <c r="C283" s="121"/>
      <c r="D283" s="121"/>
      <c r="E283" s="121"/>
      <c r="F283" s="121"/>
      <c r="G283" s="121"/>
      <c r="H283" s="121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</row>
    <row r="284" ht="12.75" customHeight="1" spans="1:28">
      <c r="A284" s="115"/>
      <c r="B284" s="151"/>
      <c r="C284" s="121"/>
      <c r="D284" s="121"/>
      <c r="E284" s="121"/>
      <c r="F284" s="121"/>
      <c r="G284" s="121"/>
      <c r="H284" s="121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</row>
    <row r="285" ht="12.75" customHeight="1" spans="1:28">
      <c r="A285" s="115"/>
      <c r="B285" s="151"/>
      <c r="C285" s="121"/>
      <c r="D285" s="121"/>
      <c r="E285" s="121"/>
      <c r="F285" s="121"/>
      <c r="G285" s="121"/>
      <c r="H285" s="121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</row>
    <row r="286" ht="12.75" customHeight="1" spans="1:28">
      <c r="A286" s="115"/>
      <c r="B286" s="151"/>
      <c r="C286" s="121"/>
      <c r="D286" s="121"/>
      <c r="E286" s="121"/>
      <c r="F286" s="121"/>
      <c r="G286" s="121"/>
      <c r="H286" s="121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</row>
    <row r="287" ht="12.75" customHeight="1" spans="1:28">
      <c r="A287" s="115"/>
      <c r="B287" s="151"/>
      <c r="C287" s="121"/>
      <c r="D287" s="121"/>
      <c r="E287" s="121"/>
      <c r="F287" s="121"/>
      <c r="G287" s="121"/>
      <c r="H287" s="121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</row>
    <row r="288" ht="12.75" customHeight="1" spans="1:28">
      <c r="A288" s="115"/>
      <c r="B288" s="151"/>
      <c r="C288" s="121"/>
      <c r="D288" s="121"/>
      <c r="E288" s="121"/>
      <c r="F288" s="121"/>
      <c r="G288" s="121"/>
      <c r="H288" s="121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</row>
    <row r="289" ht="12.75" customHeight="1" spans="1:28">
      <c r="A289" s="115"/>
      <c r="B289" s="151"/>
      <c r="C289" s="121"/>
      <c r="D289" s="121"/>
      <c r="E289" s="121"/>
      <c r="F289" s="121"/>
      <c r="G289" s="121"/>
      <c r="H289" s="121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</row>
    <row r="290" ht="12.75" customHeight="1" spans="1:28">
      <c r="A290" s="115"/>
      <c r="B290" s="151"/>
      <c r="C290" s="121"/>
      <c r="D290" s="121"/>
      <c r="E290" s="121"/>
      <c r="F290" s="121"/>
      <c r="G290" s="121"/>
      <c r="H290" s="121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</row>
    <row r="291" ht="12.75" customHeight="1" spans="1:28">
      <c r="A291" s="115"/>
      <c r="B291" s="151"/>
      <c r="C291" s="121"/>
      <c r="D291" s="121"/>
      <c r="E291" s="121"/>
      <c r="F291" s="121"/>
      <c r="G291" s="121"/>
      <c r="H291" s="121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</row>
    <row r="292" ht="12.75" customHeight="1" spans="1:28">
      <c r="A292" s="115"/>
      <c r="B292" s="151"/>
      <c r="C292" s="121"/>
      <c r="D292" s="121"/>
      <c r="E292" s="121"/>
      <c r="F292" s="121"/>
      <c r="G292" s="121"/>
      <c r="H292" s="121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</row>
    <row r="293" ht="12.75" customHeight="1" spans="1:28">
      <c r="A293" s="115"/>
      <c r="B293" s="151"/>
      <c r="C293" s="121"/>
      <c r="D293" s="121"/>
      <c r="E293" s="121"/>
      <c r="F293" s="121"/>
      <c r="G293" s="121"/>
      <c r="H293" s="121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</row>
    <row r="294" ht="12.75" customHeight="1" spans="1:28">
      <c r="A294" s="115"/>
      <c r="B294" s="151"/>
      <c r="C294" s="121"/>
      <c r="D294" s="121"/>
      <c r="E294" s="121"/>
      <c r="F294" s="121"/>
      <c r="G294" s="121"/>
      <c r="H294" s="121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</row>
    <row r="295" ht="12.75" customHeight="1" spans="1:28">
      <c r="A295" s="115"/>
      <c r="B295" s="151"/>
      <c r="C295" s="121"/>
      <c r="D295" s="121"/>
      <c r="E295" s="121"/>
      <c r="F295" s="121"/>
      <c r="G295" s="121"/>
      <c r="H295" s="121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</row>
    <row r="296" ht="12.75" customHeight="1" spans="1:28">
      <c r="A296" s="115"/>
      <c r="B296" s="151"/>
      <c r="C296" s="121"/>
      <c r="D296" s="121"/>
      <c r="E296" s="121"/>
      <c r="F296" s="121"/>
      <c r="G296" s="121"/>
      <c r="H296" s="121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</row>
    <row r="297" ht="12.75" customHeight="1" spans="1:28">
      <c r="A297" s="115"/>
      <c r="B297" s="151"/>
      <c r="C297" s="121"/>
      <c r="D297" s="121"/>
      <c r="E297" s="121"/>
      <c r="F297" s="121"/>
      <c r="G297" s="121"/>
      <c r="H297" s="121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</row>
    <row r="298" ht="12.75" customHeight="1" spans="1:28">
      <c r="A298" s="115"/>
      <c r="B298" s="151"/>
      <c r="C298" s="121"/>
      <c r="D298" s="121"/>
      <c r="E298" s="121"/>
      <c r="F298" s="121"/>
      <c r="G298" s="121"/>
      <c r="H298" s="121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</row>
    <row r="299" ht="12.75" customHeight="1" spans="1:28">
      <c r="A299" s="115"/>
      <c r="B299" s="151"/>
      <c r="C299" s="121"/>
      <c r="D299" s="121"/>
      <c r="E299" s="121"/>
      <c r="F299" s="121"/>
      <c r="G299" s="121"/>
      <c r="H299" s="121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</row>
    <row r="300" ht="12.75" customHeight="1" spans="1:28">
      <c r="A300" s="115"/>
      <c r="B300" s="151"/>
      <c r="C300" s="121"/>
      <c r="D300" s="121"/>
      <c r="E300" s="121"/>
      <c r="F300" s="121"/>
      <c r="G300" s="121"/>
      <c r="H300" s="121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</row>
    <row r="301" ht="12.75" customHeight="1" spans="1:28">
      <c r="A301" s="115"/>
      <c r="B301" s="151"/>
      <c r="C301" s="121"/>
      <c r="D301" s="121"/>
      <c r="E301" s="121"/>
      <c r="F301" s="121"/>
      <c r="G301" s="121"/>
      <c r="H301" s="121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</row>
    <row r="302" ht="12.75" customHeight="1" spans="1:28">
      <c r="A302" s="115"/>
      <c r="B302" s="151"/>
      <c r="C302" s="121"/>
      <c r="D302" s="121"/>
      <c r="E302" s="121"/>
      <c r="F302" s="121"/>
      <c r="G302" s="121"/>
      <c r="H302" s="121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</row>
    <row r="303" ht="12.75" customHeight="1" spans="1:28">
      <c r="A303" s="115"/>
      <c r="B303" s="151"/>
      <c r="C303" s="121"/>
      <c r="D303" s="121"/>
      <c r="E303" s="121"/>
      <c r="F303" s="121"/>
      <c r="G303" s="121"/>
      <c r="H303" s="121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</row>
    <row r="304" ht="12.75" customHeight="1" spans="1:28">
      <c r="A304" s="115"/>
      <c r="B304" s="151"/>
      <c r="C304" s="121"/>
      <c r="D304" s="121"/>
      <c r="E304" s="121"/>
      <c r="F304" s="121"/>
      <c r="G304" s="121"/>
      <c r="H304" s="121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</row>
    <row r="305" ht="12.75" customHeight="1" spans="1:28">
      <c r="A305" s="115"/>
      <c r="B305" s="151"/>
      <c r="C305" s="121"/>
      <c r="D305" s="121"/>
      <c r="E305" s="121"/>
      <c r="F305" s="121"/>
      <c r="G305" s="121"/>
      <c r="H305" s="121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</row>
    <row r="306" ht="12.75" customHeight="1" spans="1:28">
      <c r="A306" s="115"/>
      <c r="B306" s="151"/>
      <c r="C306" s="121"/>
      <c r="D306" s="121"/>
      <c r="E306" s="121"/>
      <c r="F306" s="121"/>
      <c r="G306" s="121"/>
      <c r="H306" s="121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</row>
    <row r="307" ht="12.75" customHeight="1" spans="1:28">
      <c r="A307" s="115"/>
      <c r="B307" s="151"/>
      <c r="C307" s="121"/>
      <c r="D307" s="121"/>
      <c r="E307" s="121"/>
      <c r="F307" s="121"/>
      <c r="G307" s="121"/>
      <c r="H307" s="121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</row>
    <row r="308" ht="12.75" customHeight="1" spans="1:28">
      <c r="A308" s="115"/>
      <c r="B308" s="151"/>
      <c r="C308" s="121"/>
      <c r="D308" s="121"/>
      <c r="E308" s="121"/>
      <c r="F308" s="121"/>
      <c r="G308" s="121"/>
      <c r="H308" s="121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</row>
    <row r="309" ht="12.75" customHeight="1" spans="1:28">
      <c r="A309" s="115"/>
      <c r="B309" s="151"/>
      <c r="C309" s="121"/>
      <c r="D309" s="121"/>
      <c r="E309" s="121"/>
      <c r="F309" s="121"/>
      <c r="G309" s="121"/>
      <c r="H309" s="121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</row>
    <row r="310" ht="12.75" customHeight="1" spans="1:28">
      <c r="A310" s="115"/>
      <c r="B310" s="151"/>
      <c r="C310" s="121"/>
      <c r="D310" s="121"/>
      <c r="E310" s="121"/>
      <c r="F310" s="121"/>
      <c r="G310" s="121"/>
      <c r="H310" s="121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</row>
    <row r="311" ht="12.75" customHeight="1" spans="1:28">
      <c r="A311" s="115"/>
      <c r="B311" s="151"/>
      <c r="C311" s="121"/>
      <c r="D311" s="121"/>
      <c r="E311" s="121"/>
      <c r="F311" s="121"/>
      <c r="G311" s="121"/>
      <c r="H311" s="121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</row>
    <row r="312" ht="12.75" customHeight="1" spans="1:28">
      <c r="A312" s="115"/>
      <c r="B312" s="151"/>
      <c r="C312" s="121"/>
      <c r="D312" s="121"/>
      <c r="E312" s="121"/>
      <c r="F312" s="121"/>
      <c r="G312" s="121"/>
      <c r="H312" s="121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</row>
    <row r="313" ht="12.75" customHeight="1" spans="1:28">
      <c r="A313" s="115"/>
      <c r="B313" s="151"/>
      <c r="C313" s="121"/>
      <c r="D313" s="121"/>
      <c r="E313" s="121"/>
      <c r="F313" s="121"/>
      <c r="G313" s="121"/>
      <c r="H313" s="121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</row>
    <row r="314" ht="12.75" customHeight="1" spans="1:28">
      <c r="A314" s="115"/>
      <c r="B314" s="151"/>
      <c r="C314" s="121"/>
      <c r="D314" s="121"/>
      <c r="E314" s="121"/>
      <c r="F314" s="121"/>
      <c r="G314" s="121"/>
      <c r="H314" s="121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</row>
    <row r="315" ht="12.75" customHeight="1" spans="1:28">
      <c r="A315" s="115"/>
      <c r="B315" s="151"/>
      <c r="C315" s="121"/>
      <c r="D315" s="121"/>
      <c r="E315" s="121"/>
      <c r="F315" s="121"/>
      <c r="G315" s="121"/>
      <c r="H315" s="121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</row>
    <row r="316" ht="12.75" customHeight="1" spans="1:28">
      <c r="A316" s="115"/>
      <c r="B316" s="151"/>
      <c r="C316" s="121"/>
      <c r="D316" s="121"/>
      <c r="E316" s="121"/>
      <c r="F316" s="121"/>
      <c r="G316" s="121"/>
      <c r="H316" s="121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</row>
    <row r="317" ht="12.75" customHeight="1" spans="1:28">
      <c r="A317" s="115"/>
      <c r="B317" s="151"/>
      <c r="C317" s="121"/>
      <c r="D317" s="121"/>
      <c r="E317" s="121"/>
      <c r="F317" s="121"/>
      <c r="G317" s="121"/>
      <c r="H317" s="121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</row>
    <row r="318" ht="12.75" customHeight="1" spans="1:28">
      <c r="A318" s="115"/>
      <c r="B318" s="151"/>
      <c r="C318" s="121"/>
      <c r="D318" s="121"/>
      <c r="E318" s="121"/>
      <c r="F318" s="121"/>
      <c r="G318" s="121"/>
      <c r="H318" s="121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</row>
    <row r="319" ht="12.75" customHeight="1" spans="1:28">
      <c r="A319" s="115"/>
      <c r="B319" s="151"/>
      <c r="C319" s="121"/>
      <c r="D319" s="121"/>
      <c r="E319" s="121"/>
      <c r="F319" s="121"/>
      <c r="G319" s="121"/>
      <c r="H319" s="121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</row>
    <row r="320" ht="12.75" customHeight="1" spans="1:28">
      <c r="A320" s="115"/>
      <c r="B320" s="151"/>
      <c r="C320" s="121"/>
      <c r="D320" s="121"/>
      <c r="E320" s="121"/>
      <c r="F320" s="121"/>
      <c r="G320" s="121"/>
      <c r="H320" s="121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</row>
    <row r="321" ht="12.75" customHeight="1" spans="1:28">
      <c r="A321" s="115"/>
      <c r="B321" s="151"/>
      <c r="C321" s="121"/>
      <c r="D321" s="121"/>
      <c r="E321" s="121"/>
      <c r="F321" s="121"/>
      <c r="G321" s="121"/>
      <c r="H321" s="121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</row>
    <row r="322" ht="12.75" customHeight="1" spans="1:28">
      <c r="A322" s="115"/>
      <c r="B322" s="151"/>
      <c r="C322" s="121"/>
      <c r="D322" s="121"/>
      <c r="E322" s="121"/>
      <c r="F322" s="121"/>
      <c r="G322" s="121"/>
      <c r="H322" s="121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</row>
    <row r="323" ht="12.75" customHeight="1" spans="1:28">
      <c r="A323" s="115"/>
      <c r="B323" s="151"/>
      <c r="C323" s="121"/>
      <c r="D323" s="121"/>
      <c r="E323" s="121"/>
      <c r="F323" s="121"/>
      <c r="G323" s="121"/>
      <c r="H323" s="121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</row>
    <row r="324" ht="12.75" customHeight="1" spans="1:28">
      <c r="A324" s="115"/>
      <c r="B324" s="151"/>
      <c r="C324" s="121"/>
      <c r="D324" s="121"/>
      <c r="E324" s="121"/>
      <c r="F324" s="121"/>
      <c r="G324" s="121"/>
      <c r="H324" s="121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</row>
    <row r="325" ht="12.75" customHeight="1" spans="1:28">
      <c r="A325" s="115"/>
      <c r="B325" s="151"/>
      <c r="C325" s="121"/>
      <c r="D325" s="121"/>
      <c r="E325" s="121"/>
      <c r="F325" s="121"/>
      <c r="G325" s="121"/>
      <c r="H325" s="121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</row>
    <row r="326" ht="12.75" customHeight="1" spans="1:28">
      <c r="A326" s="115"/>
      <c r="B326" s="151"/>
      <c r="C326" s="121"/>
      <c r="D326" s="121"/>
      <c r="E326" s="121"/>
      <c r="F326" s="121"/>
      <c r="G326" s="121"/>
      <c r="H326" s="121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</row>
    <row r="327" ht="12.75" customHeight="1" spans="1:28">
      <c r="A327" s="115"/>
      <c r="B327" s="151"/>
      <c r="C327" s="121"/>
      <c r="D327" s="121"/>
      <c r="E327" s="121"/>
      <c r="F327" s="121"/>
      <c r="G327" s="121"/>
      <c r="H327" s="121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</row>
    <row r="328" ht="12.75" customHeight="1" spans="1:28">
      <c r="A328" s="115"/>
      <c r="B328" s="151"/>
      <c r="C328" s="121"/>
      <c r="D328" s="121"/>
      <c r="E328" s="121"/>
      <c r="F328" s="121"/>
      <c r="G328" s="121"/>
      <c r="H328" s="121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</row>
    <row r="329" ht="12.75" customHeight="1" spans="1:28">
      <c r="A329" s="115"/>
      <c r="B329" s="151"/>
      <c r="C329" s="121"/>
      <c r="D329" s="121"/>
      <c r="E329" s="121"/>
      <c r="F329" s="121"/>
      <c r="G329" s="121"/>
      <c r="H329" s="121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</row>
    <row r="330" ht="12.75" customHeight="1" spans="1:28">
      <c r="A330" s="115"/>
      <c r="B330" s="151"/>
      <c r="C330" s="121"/>
      <c r="D330" s="121"/>
      <c r="E330" s="121"/>
      <c r="F330" s="121"/>
      <c r="G330" s="121"/>
      <c r="H330" s="121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</row>
    <row r="331" ht="12.75" customHeight="1" spans="1:28">
      <c r="A331" s="115"/>
      <c r="B331" s="151"/>
      <c r="C331" s="121"/>
      <c r="D331" s="121"/>
      <c r="E331" s="121"/>
      <c r="F331" s="121"/>
      <c r="G331" s="121"/>
      <c r="H331" s="121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</row>
    <row r="332" ht="12.75" customHeight="1" spans="1:28">
      <c r="A332" s="115"/>
      <c r="B332" s="151"/>
      <c r="C332" s="121"/>
      <c r="D332" s="121"/>
      <c r="E332" s="121"/>
      <c r="F332" s="121"/>
      <c r="G332" s="121"/>
      <c r="H332" s="121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</row>
    <row r="333" ht="12.75" customHeight="1" spans="1:28">
      <c r="A333" s="115"/>
      <c r="B333" s="151"/>
      <c r="C333" s="121"/>
      <c r="D333" s="121"/>
      <c r="E333" s="121"/>
      <c r="F333" s="121"/>
      <c r="G333" s="121"/>
      <c r="H333" s="121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</row>
    <row r="334" ht="12.75" customHeight="1" spans="1:28">
      <c r="A334" s="115"/>
      <c r="B334" s="151"/>
      <c r="C334" s="121"/>
      <c r="D334" s="121"/>
      <c r="E334" s="121"/>
      <c r="F334" s="121"/>
      <c r="G334" s="121"/>
      <c r="H334" s="121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</row>
    <row r="335" ht="12.75" customHeight="1" spans="1:28">
      <c r="A335" s="115"/>
      <c r="B335" s="151"/>
      <c r="C335" s="121"/>
      <c r="D335" s="121"/>
      <c r="E335" s="121"/>
      <c r="F335" s="121"/>
      <c r="G335" s="121"/>
      <c r="H335" s="121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</row>
    <row r="336" ht="12.75" customHeight="1" spans="1:28">
      <c r="A336" s="115"/>
      <c r="B336" s="151"/>
      <c r="C336" s="121"/>
      <c r="D336" s="121"/>
      <c r="E336" s="121"/>
      <c r="F336" s="121"/>
      <c r="G336" s="121"/>
      <c r="H336" s="121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</row>
    <row r="337" ht="12.75" customHeight="1" spans="1:28">
      <c r="A337" s="115"/>
      <c r="B337" s="151"/>
      <c r="C337" s="121"/>
      <c r="D337" s="121"/>
      <c r="E337" s="121"/>
      <c r="F337" s="121"/>
      <c r="G337" s="121"/>
      <c r="H337" s="121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</row>
    <row r="338" ht="12.75" customHeight="1" spans="1:28">
      <c r="A338" s="115"/>
      <c r="B338" s="151"/>
      <c r="C338" s="121"/>
      <c r="D338" s="121"/>
      <c r="E338" s="121"/>
      <c r="F338" s="121"/>
      <c r="G338" s="121"/>
      <c r="H338" s="121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</row>
    <row r="339" ht="12.75" customHeight="1" spans="1:28">
      <c r="A339" s="115"/>
      <c r="B339" s="151"/>
      <c r="C339" s="121"/>
      <c r="D339" s="121"/>
      <c r="E339" s="121"/>
      <c r="F339" s="121"/>
      <c r="G339" s="121"/>
      <c r="H339" s="121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</row>
    <row r="340" ht="12.75" customHeight="1" spans="1:28">
      <c r="A340" s="115"/>
      <c r="B340" s="151"/>
      <c r="C340" s="121"/>
      <c r="D340" s="121"/>
      <c r="E340" s="121"/>
      <c r="F340" s="121"/>
      <c r="G340" s="121"/>
      <c r="H340" s="121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</row>
    <row r="341" ht="12.75" customHeight="1" spans="1:28">
      <c r="A341" s="115"/>
      <c r="B341" s="151"/>
      <c r="C341" s="121"/>
      <c r="D341" s="121"/>
      <c r="E341" s="121"/>
      <c r="F341" s="121"/>
      <c r="G341" s="121"/>
      <c r="H341" s="121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</row>
    <row r="342" ht="12.75" customHeight="1" spans="1:28">
      <c r="A342" s="115"/>
      <c r="B342" s="151"/>
      <c r="C342" s="121"/>
      <c r="D342" s="121"/>
      <c r="E342" s="121"/>
      <c r="F342" s="121"/>
      <c r="G342" s="121"/>
      <c r="H342" s="121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</row>
    <row r="343" ht="12.75" customHeight="1" spans="1:28">
      <c r="A343" s="115"/>
      <c r="B343" s="151"/>
      <c r="C343" s="121"/>
      <c r="D343" s="121"/>
      <c r="E343" s="121"/>
      <c r="F343" s="121"/>
      <c r="G343" s="121"/>
      <c r="H343" s="121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</row>
    <row r="344" ht="12.75" customHeight="1" spans="1:28">
      <c r="A344" s="115"/>
      <c r="B344" s="151"/>
      <c r="C344" s="121"/>
      <c r="D344" s="121"/>
      <c r="E344" s="121"/>
      <c r="F344" s="121"/>
      <c r="G344" s="121"/>
      <c r="H344" s="121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</row>
    <row r="345" ht="12.75" customHeight="1" spans="1:28">
      <c r="A345" s="115"/>
      <c r="B345" s="151"/>
      <c r="C345" s="121"/>
      <c r="D345" s="121"/>
      <c r="E345" s="121"/>
      <c r="F345" s="121"/>
      <c r="G345" s="121"/>
      <c r="H345" s="121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</row>
    <row r="346" ht="12.75" customHeight="1" spans="1:28">
      <c r="A346" s="115"/>
      <c r="B346" s="151"/>
      <c r="C346" s="121"/>
      <c r="D346" s="121"/>
      <c r="E346" s="121"/>
      <c r="F346" s="121"/>
      <c r="G346" s="121"/>
      <c r="H346" s="121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</row>
    <row r="347" ht="12.75" customHeight="1" spans="1:28">
      <c r="A347" s="115"/>
      <c r="B347" s="151"/>
      <c r="C347" s="121"/>
      <c r="D347" s="121"/>
      <c r="E347" s="121"/>
      <c r="F347" s="121"/>
      <c r="G347" s="121"/>
      <c r="H347" s="121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</row>
    <row r="348" ht="12.75" customHeight="1" spans="1:28">
      <c r="A348" s="115"/>
      <c r="B348" s="151"/>
      <c r="C348" s="121"/>
      <c r="D348" s="121"/>
      <c r="E348" s="121"/>
      <c r="F348" s="121"/>
      <c r="G348" s="121"/>
      <c r="H348" s="121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</row>
    <row r="349" ht="12.75" customHeight="1" spans="1:28">
      <c r="A349" s="115"/>
      <c r="B349" s="151"/>
      <c r="C349" s="121"/>
      <c r="D349" s="121"/>
      <c r="E349" s="121"/>
      <c r="F349" s="121"/>
      <c r="G349" s="121"/>
      <c r="H349" s="121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</row>
    <row r="350" ht="12.75" customHeight="1" spans="1:28">
      <c r="A350" s="115"/>
      <c r="B350" s="151"/>
      <c r="C350" s="121"/>
      <c r="D350" s="121"/>
      <c r="E350" s="121"/>
      <c r="F350" s="121"/>
      <c r="G350" s="121"/>
      <c r="H350" s="121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</row>
    <row r="351" ht="12.75" customHeight="1" spans="1:28">
      <c r="A351" s="115"/>
      <c r="B351" s="151"/>
      <c r="C351" s="121"/>
      <c r="D351" s="121"/>
      <c r="E351" s="121"/>
      <c r="F351" s="121"/>
      <c r="G351" s="121"/>
      <c r="H351" s="121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</row>
    <row r="352" ht="12.75" customHeight="1" spans="1:28">
      <c r="A352" s="115"/>
      <c r="B352" s="151"/>
      <c r="C352" s="121"/>
      <c r="D352" s="121"/>
      <c r="E352" s="121"/>
      <c r="F352" s="121"/>
      <c r="G352" s="121"/>
      <c r="H352" s="121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</row>
    <row r="353" ht="12.75" customHeight="1" spans="1:28">
      <c r="A353" s="115"/>
      <c r="B353" s="151"/>
      <c r="C353" s="121"/>
      <c r="D353" s="121"/>
      <c r="E353" s="121"/>
      <c r="F353" s="121"/>
      <c r="G353" s="121"/>
      <c r="H353" s="121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</row>
    <row r="354" ht="12.75" customHeight="1" spans="1:28">
      <c r="A354" s="115"/>
      <c r="B354" s="151"/>
      <c r="C354" s="121"/>
      <c r="D354" s="121"/>
      <c r="E354" s="121"/>
      <c r="F354" s="121"/>
      <c r="G354" s="121"/>
      <c r="H354" s="121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</row>
    <row r="355" ht="12.75" customHeight="1" spans="1:28">
      <c r="A355" s="115"/>
      <c r="B355" s="151"/>
      <c r="C355" s="121"/>
      <c r="D355" s="121"/>
      <c r="E355" s="121"/>
      <c r="F355" s="121"/>
      <c r="G355" s="121"/>
      <c r="H355" s="121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</row>
    <row r="356" ht="12.75" customHeight="1" spans="1:28">
      <c r="A356" s="115"/>
      <c r="B356" s="151"/>
      <c r="C356" s="121"/>
      <c r="D356" s="121"/>
      <c r="E356" s="121"/>
      <c r="F356" s="121"/>
      <c r="G356" s="121"/>
      <c r="H356" s="121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</row>
    <row r="357" ht="12.75" customHeight="1" spans="1:28">
      <c r="A357" s="115"/>
      <c r="B357" s="151"/>
      <c r="C357" s="121"/>
      <c r="D357" s="121"/>
      <c r="E357" s="121"/>
      <c r="F357" s="121"/>
      <c r="G357" s="121"/>
      <c r="H357" s="121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</row>
    <row r="358" ht="12.75" customHeight="1" spans="1:28">
      <c r="A358" s="115"/>
      <c r="B358" s="151"/>
      <c r="C358" s="121"/>
      <c r="D358" s="121"/>
      <c r="E358" s="121"/>
      <c r="F358" s="121"/>
      <c r="G358" s="121"/>
      <c r="H358" s="121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</row>
    <row r="359" ht="12.75" customHeight="1" spans="1:28">
      <c r="A359" s="115"/>
      <c r="B359" s="151"/>
      <c r="C359" s="121"/>
      <c r="D359" s="121"/>
      <c r="E359" s="121"/>
      <c r="F359" s="121"/>
      <c r="G359" s="121"/>
      <c r="H359" s="121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</row>
    <row r="360" ht="12.75" customHeight="1" spans="1:28">
      <c r="A360" s="115"/>
      <c r="B360" s="151"/>
      <c r="C360" s="121"/>
      <c r="D360" s="121"/>
      <c r="E360" s="121"/>
      <c r="F360" s="121"/>
      <c r="G360" s="121"/>
      <c r="H360" s="121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</row>
    <row r="361" ht="12.75" customHeight="1" spans="1:28">
      <c r="A361" s="115"/>
      <c r="B361" s="151"/>
      <c r="C361" s="121"/>
      <c r="D361" s="121"/>
      <c r="E361" s="121"/>
      <c r="F361" s="121"/>
      <c r="G361" s="121"/>
      <c r="H361" s="121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</row>
    <row r="362" ht="12.75" customHeight="1" spans="1:28">
      <c r="A362" s="115"/>
      <c r="B362" s="151"/>
      <c r="C362" s="121"/>
      <c r="D362" s="121"/>
      <c r="E362" s="121"/>
      <c r="F362" s="121"/>
      <c r="G362" s="121"/>
      <c r="H362" s="121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</row>
    <row r="363" ht="12.75" customHeight="1" spans="1:28">
      <c r="A363" s="115"/>
      <c r="B363" s="151"/>
      <c r="C363" s="121"/>
      <c r="D363" s="121"/>
      <c r="E363" s="121"/>
      <c r="F363" s="121"/>
      <c r="G363" s="121"/>
      <c r="H363" s="121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</row>
    <row r="364" ht="12.75" customHeight="1" spans="1:28">
      <c r="A364" s="115"/>
      <c r="B364" s="151"/>
      <c r="C364" s="121"/>
      <c r="D364" s="121"/>
      <c r="E364" s="121"/>
      <c r="F364" s="121"/>
      <c r="G364" s="121"/>
      <c r="H364" s="121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</row>
    <row r="365" ht="12.75" customHeight="1" spans="1:28">
      <c r="A365" s="115"/>
      <c r="B365" s="151"/>
      <c r="C365" s="121"/>
      <c r="D365" s="121"/>
      <c r="E365" s="121"/>
      <c r="F365" s="121"/>
      <c r="G365" s="121"/>
      <c r="H365" s="121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</row>
    <row r="366" ht="12.75" customHeight="1" spans="1:28">
      <c r="A366" s="115"/>
      <c r="B366" s="151"/>
      <c r="C366" s="121"/>
      <c r="D366" s="121"/>
      <c r="E366" s="121"/>
      <c r="F366" s="121"/>
      <c r="G366" s="121"/>
      <c r="H366" s="121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</row>
    <row r="367" ht="12.75" customHeight="1" spans="1:28">
      <c r="A367" s="115"/>
      <c r="B367" s="151"/>
      <c r="C367" s="121"/>
      <c r="D367" s="121"/>
      <c r="E367" s="121"/>
      <c r="F367" s="121"/>
      <c r="G367" s="121"/>
      <c r="H367" s="121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</row>
    <row r="368" ht="12.75" customHeight="1" spans="1:28">
      <c r="A368" s="115"/>
      <c r="B368" s="151"/>
      <c r="C368" s="121"/>
      <c r="D368" s="121"/>
      <c r="E368" s="121"/>
      <c r="F368" s="121"/>
      <c r="G368" s="121"/>
      <c r="H368" s="121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</row>
    <row r="369" ht="12.75" customHeight="1" spans="1:28">
      <c r="A369" s="115"/>
      <c r="B369" s="151"/>
      <c r="C369" s="121"/>
      <c r="D369" s="121"/>
      <c r="E369" s="121"/>
      <c r="F369" s="121"/>
      <c r="G369" s="121"/>
      <c r="H369" s="121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</row>
    <row r="370" ht="12.75" customHeight="1" spans="1:28">
      <c r="A370" s="115"/>
      <c r="B370" s="151"/>
      <c r="C370" s="121"/>
      <c r="D370" s="121"/>
      <c r="E370" s="121"/>
      <c r="F370" s="121"/>
      <c r="G370" s="121"/>
      <c r="H370" s="121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</sheetData>
  <mergeCells count="8">
    <mergeCell ref="B3:E3"/>
    <mergeCell ref="F3:H3"/>
    <mergeCell ref="B4:E4"/>
    <mergeCell ref="F4:H4"/>
    <mergeCell ref="B5:E5"/>
    <mergeCell ref="F5:H5"/>
    <mergeCell ref="C169:C170"/>
    <mergeCell ref="B1:H2"/>
  </mergeCells>
  <hyperlinks>
    <hyperlink ref="F9" location="Address!A1" display="Address"/>
    <hyperlink ref="F10" location="Address!A1" display="Address"/>
    <hyperlink ref="F11" location="Address!A1" display="Address"/>
    <hyperlink ref="F12" location="Address!A1" display="Address"/>
    <hyperlink ref="F13" location="Admin!A1" display="Admin"/>
    <hyperlink ref="F14" location="Admin!A1" display="Admin"/>
    <hyperlink ref="F15" location="Attributes!A1" display="Attributes"/>
    <hyperlink ref="F16" location="Attributes!A1" display="Attributes"/>
    <hyperlink ref="F17" location="Attributes!A1" display="Attributes"/>
    <hyperlink ref="F18" location="Attributes!A1" display="Attributes"/>
    <hyperlink ref="F19" location="Attributes!A1" display="Attributes"/>
    <hyperlink ref="F20" location="Attributes!A1" display="Attributes"/>
    <hyperlink ref="F21" location="'Attribute Options'!A1" display="Attribute Options"/>
    <hyperlink ref="F22" location="'Attribute Options'!A1" display="Attribute Options"/>
    <hyperlink ref="F23" location="'Attribute Options'!A1" display="Attribute Options"/>
    <hyperlink ref="F24" location="'Attribute Options'!A1" display="Attribute Options"/>
    <hyperlink ref="F25" location="Auth!A1" display="Auth"/>
    <hyperlink ref="F26" location="Auth!A1" display="Auth"/>
    <hyperlink ref="F27" location="Auth!A1" display="Auth"/>
    <hyperlink ref="F28" location="Block!A1" display="Block"/>
    <hyperlink ref="F29" location="Block!A1" display="Block"/>
    <hyperlink ref="F30" location="Block!A1" display="Block"/>
    <hyperlink ref="F31" location="'Chat AI'!A1" display="Chat AI"/>
    <hyperlink ref="F32" location="'Chat AI'!A1" display="Chat AI"/>
    <hyperlink ref="F33" location="'Chat AI'!A1" display="Chat AI"/>
    <hyperlink ref="F34" location="'Chat AI'!A1" display="Chat AI"/>
    <hyperlink ref="F35" location="'Chat AI'!A1" display="Chat AI"/>
    <hyperlink ref="F36" location="'Chat AI'!A1" display="Chat AI"/>
    <hyperlink ref="F37" location="'Chat AI'!A1" display="Chat AI"/>
    <hyperlink ref="F38" location="'Chat Expert'!A1" display="Chat Expert"/>
    <hyperlink ref="F39" location="'Chat Expert'!A1" display="Chat Expert"/>
    <hyperlink ref="F40" location="'Chat Expert'!A1" display="Chat Expert"/>
    <hyperlink ref="F41" location="'Chat Expert'!A1" display="Chat Expert"/>
    <hyperlink ref="F42" location="'Chat Expert'!A1" display="Chat Expert"/>
    <hyperlink ref="F43" location="'Chat User'!A1" display="Chat User"/>
    <hyperlink ref="F44" location="'Chat User'!A1" display="Chat User"/>
    <hyperlink ref="F45" location="'Chat User'!A1" display="Chat User"/>
    <hyperlink ref="F46" location="'Chat User'!A1" display="Chat User"/>
    <hyperlink ref="F47" location="'Expert Confirmation'!A1" display="Expert Confirmation"/>
    <hyperlink ref="F48" location="'Expert Confirmation'!A1" display="Expert Confirmation"/>
    <hyperlink ref="F49" location="'Expert Confirmation'!A1" display="Expert Confirmation"/>
    <hyperlink ref="F50" location="'Expert Confirmation'!A1" display="Expert Confirmation"/>
    <hyperlink ref="F51" location="'Expert Confirmation'!A1" display="Expert Confirmation"/>
    <hyperlink ref="F52" location="'Expert Confirmation'!A1" display="Expert Confirmation"/>
    <hyperlink ref="F53" location="Match!A1" display="Match"/>
    <hyperlink ref="F54" location="Match!A1" display="Match"/>
    <hyperlink ref="F55" location="Match!A1" display="Match"/>
    <hyperlink ref="F56" location="Match!A1" display="Match"/>
    <hyperlink ref="F57" location="Match!A1" display="Match"/>
    <hyperlink ref="F58" location="Notification!A1" display="Notification"/>
    <hyperlink ref="F59" location="Notification!A1" display="Notification"/>
    <hyperlink ref="F60" location="Notification!A1" display="Notification"/>
    <hyperlink ref="F61" location="Notification!A1" display="Notification"/>
    <hyperlink ref="F62" location="Notification!A1" display="Notification"/>
    <hyperlink ref="F63" location="Notification!A1" display="Notification"/>
    <hyperlink ref="F64" location="Notification!A1" display="Notification"/>
    <hyperlink ref="F65" location="Notification!A1" display="Notification"/>
    <hyperlink ref="F66" location="Auth!A1" display="Auth"/>
    <hyperlink ref="F67" location="Auth!A1" display="Auth"/>
    <hyperlink ref="F68" location="Payment!A1" display="Payment"/>
    <hyperlink ref="F69" location="Payment!A1" display="Payment"/>
    <hyperlink ref="F70" location="Payment!A1" display="Payment"/>
    <hyperlink ref="F71" location="Payment!A1" display="Payment"/>
    <hyperlink ref="F72" location="Payment!A1" display="Payment"/>
    <hyperlink ref="F73" location="Pet!A1" display="Pet"/>
    <hyperlink ref="F74" location="Pet!A1" display="Pet"/>
    <hyperlink ref="F75" location="Pet!A1" display="Pet"/>
    <hyperlink ref="F76" location="Pet!A1" display="Pet"/>
    <hyperlink ref="F77" location="Pet!A1" display="Pet"/>
    <hyperlink ref="F78" location="Pet!A1" display="Pet"/>
    <hyperlink ref="F79" location="Pet!A1" display="Pet"/>
    <hyperlink ref="F80" location="'Pet Characteristic'!A1" display="Pet Characteristic"/>
    <hyperlink ref="F81" location="'Pet Characteristic'!A1" display="Pet Characteristic"/>
    <hyperlink ref="F82" location="'Pet Characteristic'!A1" display="Pet Characteristic"/>
    <hyperlink ref="F83" location="'Pet Photo'!A1" display="Pet Photo"/>
    <hyperlink ref="F84" location="'Pet Photo'!A1" display="Pet Photo"/>
    <hyperlink ref="F85" location="'Pet Photo'!A1" display="Pet Photo"/>
    <hyperlink ref="F86" location="'Pet Photo'!A1" display="Pet Photo"/>
    <hyperlink ref="F87" location="'Pet Recommendation'!A1" display="Pet Recommendation"/>
    <hyperlink ref="F88" location="'Pet Image Analysis'!A1" display="Pet Image Analysis"/>
    <hyperlink ref="F89" location="Report!A1" display="Report"/>
    <hyperlink ref="F90" location="Report!A1" display="Report"/>
    <hyperlink ref="F91" location="Report!A1" display="Report"/>
    <hyperlink ref="F92" location="Report!A1" display="Report"/>
    <hyperlink ref="F93" location="Report!A1" display="Report"/>
    <hyperlink ref="F94" location="User!A1" display="User"/>
    <hyperlink ref="F95" location="User!A1" display="User"/>
    <hyperlink ref="F96" location="User!A1" display="User"/>
    <hyperlink ref="F97" location="User!A1" display="User"/>
    <hyperlink ref="F98" location="User!A1" display="User"/>
    <hyperlink ref="F99" location="User!A1" display="User"/>
    <hyperlink ref="F100" location="User!A1" display="User"/>
    <hyperlink ref="F101" location="'User Preference'!A1" display="User Preference"/>
    <hyperlink ref="F102" location="'User Preference'!A1" display="User Preference"/>
    <hyperlink ref="F103" location="'User Preference'!A1" display="User Preference"/>
    <hyperlink ref="F104" location="Appointment!A1" display="Appointment"/>
    <hyperlink ref="F105" location="Appointment!A1" display="Appointment"/>
    <hyperlink ref="F106" location="Appointment!A1" display="Appointment"/>
    <hyperlink ref="F107" location="Appointment!A1" display="Appointment"/>
    <hyperlink ref="F108" location="Appointment!A1" display="Appointment"/>
    <hyperlink ref="F109" location="Appointment!A1" display="Appointment"/>
    <hyperlink ref="F110" location="Appointment!A1" display="Appointment"/>
    <hyperlink ref="F111" location="Appointment!A1" display="Appointment"/>
    <hyperlink ref="F112" location="Appointment!A1" display="Appointment"/>
    <hyperlink ref="F113" location="Appointment!A1" display="Appointment"/>
    <hyperlink ref="F114" location="Appointment!A1" display="Appointment"/>
    <hyperlink ref="F115" location="Appointment!A1" display="Appointment"/>
    <hyperlink ref="F116" location="'Bad Word'!A1" display="Bad Word"/>
    <hyperlink ref="F117" location="'Bad Word'!A1" display="Bad Word"/>
    <hyperlink ref="F118" location="'Bad Word'!A1" display="Bad Word"/>
    <hyperlink ref="F119" location="'Bad Word'!A1" display="Bad Word"/>
    <hyperlink ref="F120" location="'Bad Word'!A1" display="Bad Word"/>
    <hyperlink ref="F121" location="'Bad Word'!A1" display="Bad Word"/>
    <hyperlink ref="F122" location="Event!A1" display="Event"/>
    <hyperlink ref="F123" location="Event!A1" display="Event"/>
    <hyperlink ref="F124" location="Event!A1" display="Event"/>
    <hyperlink ref="F125" location="Event!A1" display="Event"/>
    <hyperlink ref="F126" location="Event!A1" display="Event"/>
    <hyperlink ref="F127" location="Event!A1" display="Event"/>
    <hyperlink ref="F128" location="Event!A1" display="Event"/>
    <hyperlink ref="F129" location="Event!A1" display="Event"/>
    <hyperlink ref="F130" location="Event!A1" display="Event"/>
    <hyperlink ref="F131" location="Event!A1" display="Event"/>
    <hyperlink ref="F132" location="Event!A1" display="Event"/>
    <hyperlink ref="F133" location="Event!A1" display="Event"/>
    <hyperlink ref="F134" location="Policy!A1" display="Policy"/>
    <hyperlink ref="F135" location="Policy!A1" display="Policy"/>
    <hyperlink ref="F136" location="Policy!A1" display="Policy"/>
    <hyperlink ref="F137" location="Policy!A1" display="Policy"/>
    <hyperlink ref="F138" location="Policy!A1" display="Policy"/>
    <hyperlink ref="F139" location="Policy!A1" display="Policy"/>
    <hyperlink ref="F140" location="Policy!A1" display="Policy"/>
    <hyperlink ref="F141" location="Policy!A1" display="Policy"/>
    <hyperlink ref="F142" location="Policy!A1" display="Policy"/>
    <hyperlink ref="F143" location="Policy!A1" display="Policy"/>
    <hyperlink ref="F144" location="Policy!A1" display="Policy"/>
    <hyperlink ref="F145" location="Policy!A1" display="Policy"/>
    <hyperlink ref="F146" location="Policy!A1" display="Policy"/>
    <hyperlink ref="F147" location="Policy!A1" display="Policy"/>
    <hyperlink ref="F148" location="Policy!A1" display="Policy"/>
    <hyperlink ref="F149" location="Policy!A1" display="Policy"/>
    <hyperlink ref="F150" location="Policy!A1" display="Policy"/>
    <hyperlink ref="F151" location="Policy!A1" display="Policy"/>
    <hyperlink ref="F152" location="Policy!A1" display="Policy"/>
  </hyperlinks>
  <pageMargins left="0.747916666666667" right="0.747916666666667" top="0.984027777777778" bottom="1.15069444444444" header="0" footer="0"/>
  <pageSetup paperSize="9"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20"/>
  <sheetViews>
    <sheetView tabSelected="1" topLeftCell="A5" workbookViewId="0">
      <selection activeCell="K15" sqref="K15"/>
    </sheetView>
  </sheetViews>
  <sheetFormatPr defaultColWidth="12.6296296296296" defaultRowHeight="15" customHeight="1"/>
  <cols>
    <col min="1" max="1" width="4.5" customWidth="1"/>
    <col min="2" max="2" width="18.3796296296296" customWidth="1"/>
    <col min="3" max="3" width="27" customWidth="1"/>
    <col min="4" max="4" width="21.6296296296296" customWidth="1"/>
    <col min="5" max="5" width="11.6296296296296" customWidth="1"/>
    <col min="6" max="6" width="9" customWidth="1"/>
    <col min="7" max="7" width="13.25" customWidth="1"/>
    <col min="8" max="8" width="21.5" customWidth="1"/>
    <col min="9" max="26" width="9" customWidth="1"/>
  </cols>
  <sheetData>
    <row r="1" ht="25.5" customHeight="1" spans="1:26">
      <c r="A1" s="2"/>
      <c r="B1" s="79" t="s">
        <v>205</v>
      </c>
      <c r="C1" s="80"/>
      <c r="D1" s="80"/>
      <c r="E1" s="80"/>
      <c r="F1" s="80"/>
      <c r="G1" s="80"/>
      <c r="H1" s="2"/>
      <c r="I1" s="2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37"/>
    </row>
    <row r="2" ht="25.5" customHeight="1" spans="1:26">
      <c r="A2" s="81"/>
      <c r="B2" s="80"/>
      <c r="H2" s="2"/>
      <c r="I2" s="2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37"/>
    </row>
    <row r="3" ht="26.25" customHeight="1" spans="1:26">
      <c r="A3" s="2"/>
      <c r="B3" s="82" t="s">
        <v>1</v>
      </c>
      <c r="C3" s="83" t="s">
        <v>2</v>
      </c>
      <c r="D3" s="84" t="s">
        <v>3</v>
      </c>
      <c r="E3" s="85"/>
      <c r="F3" s="86"/>
      <c r="G3" s="42" t="s">
        <v>4</v>
      </c>
      <c r="H3" s="2"/>
      <c r="I3" s="2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37"/>
    </row>
    <row r="4" ht="23.25" customHeight="1" spans="1:26">
      <c r="A4" s="2"/>
      <c r="B4" s="82" t="s">
        <v>5</v>
      </c>
      <c r="C4" s="87" t="s">
        <v>6</v>
      </c>
      <c r="D4" s="84" t="s">
        <v>206</v>
      </c>
      <c r="E4" s="85"/>
      <c r="F4" s="86"/>
      <c r="G4" s="42"/>
      <c r="H4" s="2"/>
      <c r="I4" s="2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37"/>
    </row>
    <row r="5" ht="25.5" customHeight="1" spans="1:26">
      <c r="A5" s="2"/>
      <c r="B5" s="82" t="s">
        <v>8</v>
      </c>
      <c r="C5" s="83"/>
      <c r="D5" s="84" t="s">
        <v>7</v>
      </c>
      <c r="E5" s="85"/>
      <c r="F5" s="86"/>
      <c r="G5" s="88"/>
      <c r="H5" s="2"/>
      <c r="I5" s="2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37"/>
    </row>
    <row r="6" ht="21.75" customHeight="1" spans="1:26">
      <c r="A6" s="81"/>
      <c r="B6" s="82" t="s">
        <v>207</v>
      </c>
      <c r="C6" s="89"/>
      <c r="D6" s="12"/>
      <c r="E6" s="12"/>
      <c r="F6" s="12"/>
      <c r="G6" s="85"/>
      <c r="H6" s="2"/>
      <c r="I6" s="2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37"/>
    </row>
    <row r="7" ht="14.25" customHeight="1" spans="1:26">
      <c r="A7" s="81"/>
      <c r="B7" s="90"/>
      <c r="C7" s="2"/>
      <c r="D7" s="2"/>
      <c r="E7" s="2"/>
      <c r="F7" s="2"/>
      <c r="G7" s="91"/>
      <c r="H7" s="2"/>
      <c r="I7" s="2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37"/>
    </row>
    <row r="8" ht="12.75" customHeight="1" spans="1:26">
      <c r="A8" s="2"/>
      <c r="B8" s="90"/>
      <c r="C8" s="2"/>
      <c r="D8" s="2"/>
      <c r="E8" s="2"/>
      <c r="F8" s="2"/>
      <c r="G8" s="91"/>
      <c r="H8" s="2"/>
      <c r="I8" s="2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37"/>
    </row>
    <row r="9" ht="12.75" customHeight="1" spans="1:26">
      <c r="A9" s="2"/>
      <c r="B9" s="2"/>
      <c r="C9" s="2"/>
      <c r="D9" s="2"/>
      <c r="E9" s="2"/>
      <c r="F9" s="2"/>
      <c r="G9" s="2"/>
      <c r="H9" s="2"/>
      <c r="I9" s="2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37"/>
    </row>
    <row r="10" ht="12.75" customHeight="1" spans="1:26">
      <c r="A10" s="92"/>
      <c r="B10" s="93" t="s">
        <v>30</v>
      </c>
      <c r="C10" s="94" t="s">
        <v>208</v>
      </c>
      <c r="D10" s="94" t="s">
        <v>209</v>
      </c>
      <c r="E10" s="94" t="s">
        <v>210</v>
      </c>
      <c r="F10" s="94" t="s">
        <v>211</v>
      </c>
      <c r="G10" s="95" t="s">
        <v>212</v>
      </c>
      <c r="H10" s="96" t="s">
        <v>213</v>
      </c>
      <c r="I10" s="2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2.75" customHeight="1" spans="1:26">
      <c r="A11" s="2"/>
      <c r="B11" s="32">
        <v>1</v>
      </c>
      <c r="C11" s="97" t="s">
        <v>38</v>
      </c>
      <c r="D11" s="98">
        <f ca="1" t="shared" ref="D11:D36" si="0">INDIRECT(C11&amp;"!C$8")</f>
        <v>27</v>
      </c>
      <c r="E11" s="99">
        <f ca="1" t="shared" ref="E11:E36" si="1">INDIRECT(C11&amp;"!D$8")</f>
        <v>0</v>
      </c>
      <c r="F11" s="99">
        <f ca="1" t="shared" ref="F11:F36" si="2">INDIRECT(C11&amp;"!F$8")</f>
        <v>0</v>
      </c>
      <c r="G11" s="98">
        <f ca="1" t="shared" ref="G11:G36" si="3">INDIRECT(C11&amp;"!G$8")</f>
        <v>0</v>
      </c>
      <c r="H11" s="99">
        <f ca="1" t="shared" ref="H11:H36" si="4">INDIRECT(C11&amp;"!$C$4")</f>
        <v>27</v>
      </c>
      <c r="I11" s="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37"/>
    </row>
    <row r="12" ht="12.75" customHeight="1" spans="1:26">
      <c r="A12" s="2"/>
      <c r="B12" s="32">
        <v>2</v>
      </c>
      <c r="C12" s="97" t="s">
        <v>43</v>
      </c>
      <c r="D12" s="98">
        <f ca="1" t="shared" si="0"/>
        <v>21</v>
      </c>
      <c r="E12" s="99">
        <f ca="1" t="shared" si="1"/>
        <v>0</v>
      </c>
      <c r="F12" s="99">
        <f ca="1" t="shared" si="2"/>
        <v>0</v>
      </c>
      <c r="G12" s="98">
        <f ca="1" t="shared" si="3"/>
        <v>0</v>
      </c>
      <c r="H12" s="99">
        <f ca="1" t="shared" si="4"/>
        <v>21</v>
      </c>
      <c r="I12" s="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37"/>
    </row>
    <row r="13" ht="12.75" customHeight="1" spans="1:26">
      <c r="A13" s="2"/>
      <c r="B13" s="32">
        <v>3</v>
      </c>
      <c r="C13" s="97" t="s">
        <v>46</v>
      </c>
      <c r="D13" s="98">
        <f ca="1" t="shared" si="0"/>
        <v>23</v>
      </c>
      <c r="E13" s="99">
        <f ca="1" t="shared" si="1"/>
        <v>0</v>
      </c>
      <c r="F13" s="99">
        <f ca="1" t="shared" si="2"/>
        <v>0</v>
      </c>
      <c r="G13" s="98">
        <f ca="1" t="shared" si="3"/>
        <v>0</v>
      </c>
      <c r="H13" s="99">
        <f ca="1" t="shared" si="4"/>
        <v>23</v>
      </c>
      <c r="I13" s="2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37"/>
    </row>
    <row r="14" ht="12.75" customHeight="1" spans="1:26">
      <c r="A14" s="2"/>
      <c r="B14" s="32">
        <v>4</v>
      </c>
      <c r="C14" s="100" t="s">
        <v>53</v>
      </c>
      <c r="D14" s="98">
        <f ca="1" t="shared" ref="D14:D21" si="5">INDIRECT("'"&amp;C14&amp;"'!C$8")</f>
        <v>17</v>
      </c>
      <c r="E14" s="99">
        <f ca="1" t="shared" ref="E14:E21" si="6">INDIRECT("'"&amp;C14&amp;"'!D$8")</f>
        <v>0</v>
      </c>
      <c r="F14" s="99">
        <f ca="1" t="shared" ref="F14:F21" si="7">INDIRECT("'"&amp;C14&amp;"'!F$8")</f>
        <v>0</v>
      </c>
      <c r="G14" s="98">
        <f ca="1" t="shared" ref="G14:G21" si="8">INDIRECT("'"&amp;C14&amp;"'!G$8")</f>
        <v>0</v>
      </c>
      <c r="H14" s="99">
        <f ca="1" t="shared" ref="H14:H21" si="9">INDIRECT("'"&amp;C14&amp;"'!$C$4")</f>
        <v>17</v>
      </c>
      <c r="I14" s="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37"/>
    </row>
    <row r="15" ht="12.75" customHeight="1" spans="1:26">
      <c r="A15" s="2"/>
      <c r="B15" s="32">
        <v>5</v>
      </c>
      <c r="C15" s="97" t="s">
        <v>58</v>
      </c>
      <c r="D15" s="98">
        <f ca="1" t="shared" si="0"/>
        <v>32</v>
      </c>
      <c r="E15" s="99">
        <f ca="1" t="shared" si="1"/>
        <v>0</v>
      </c>
      <c r="F15" s="99">
        <f ca="1" t="shared" si="2"/>
        <v>0</v>
      </c>
      <c r="G15" s="98">
        <f ca="1" t="shared" si="3"/>
        <v>0</v>
      </c>
      <c r="H15" s="99">
        <f ca="1" t="shared" si="4"/>
        <v>32</v>
      </c>
      <c r="I15" s="2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37"/>
    </row>
    <row r="16" ht="12.75" customHeight="1" spans="1:26">
      <c r="A16" s="2"/>
      <c r="B16" s="32">
        <v>6</v>
      </c>
      <c r="C16" s="97" t="s">
        <v>149</v>
      </c>
      <c r="D16" s="98">
        <f ca="1" t="shared" si="5"/>
        <v>20</v>
      </c>
      <c r="E16" s="99">
        <f ca="1" t="shared" si="6"/>
        <v>0</v>
      </c>
      <c r="F16" s="99">
        <f ca="1" t="shared" si="7"/>
        <v>0</v>
      </c>
      <c r="G16" s="98">
        <f ca="1" t="shared" si="8"/>
        <v>0</v>
      </c>
      <c r="H16" s="99">
        <f ca="1" t="shared" si="9"/>
        <v>20</v>
      </c>
      <c r="I16" s="2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37"/>
    </row>
    <row r="17" ht="12.75" customHeight="1" spans="1:26">
      <c r="A17" s="2"/>
      <c r="B17" s="32">
        <v>7</v>
      </c>
      <c r="C17" s="97" t="s">
        <v>62</v>
      </c>
      <c r="D17" s="98">
        <f ca="1" t="shared" si="0"/>
        <v>11</v>
      </c>
      <c r="E17" s="99">
        <f ca="1" t="shared" si="1"/>
        <v>0</v>
      </c>
      <c r="F17" s="99">
        <f ca="1" t="shared" si="2"/>
        <v>0</v>
      </c>
      <c r="G17" s="98">
        <f ca="1" t="shared" si="3"/>
        <v>0</v>
      </c>
      <c r="H17" s="99">
        <f ca="1" t="shared" si="4"/>
        <v>11</v>
      </c>
      <c r="I17" s="2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37"/>
    </row>
    <row r="18" ht="12.75" customHeight="1" spans="1:26">
      <c r="A18" s="2"/>
      <c r="B18" s="32">
        <v>8</v>
      </c>
      <c r="C18" s="97" t="s">
        <v>66</v>
      </c>
      <c r="D18" s="98">
        <f ca="1" t="shared" si="5"/>
        <v>29</v>
      </c>
      <c r="E18" s="99">
        <f ca="1" t="shared" si="6"/>
        <v>0</v>
      </c>
      <c r="F18" s="99">
        <f ca="1" t="shared" si="7"/>
        <v>0</v>
      </c>
      <c r="G18" s="98">
        <f ca="1" t="shared" si="8"/>
        <v>0</v>
      </c>
      <c r="H18" s="99">
        <f ca="1" t="shared" si="9"/>
        <v>29</v>
      </c>
      <c r="I18" s="2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37"/>
    </row>
    <row r="19" ht="12.75" customHeight="1" spans="1:26">
      <c r="A19" s="2"/>
      <c r="B19" s="32">
        <v>9</v>
      </c>
      <c r="C19" s="97" t="s">
        <v>74</v>
      </c>
      <c r="D19" s="98">
        <f ca="1" t="shared" si="5"/>
        <v>21</v>
      </c>
      <c r="E19" s="99">
        <f ca="1" t="shared" si="6"/>
        <v>0</v>
      </c>
      <c r="F19" s="99">
        <f ca="1" t="shared" si="7"/>
        <v>0</v>
      </c>
      <c r="G19" s="98">
        <f ca="1" t="shared" si="8"/>
        <v>0</v>
      </c>
      <c r="H19" s="99">
        <f ca="1" t="shared" si="9"/>
        <v>21</v>
      </c>
      <c r="I19" s="2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37"/>
    </row>
    <row r="20" ht="12.75" customHeight="1" spans="1:26">
      <c r="A20" s="2"/>
      <c r="B20" s="32">
        <v>10</v>
      </c>
      <c r="C20" s="97" t="s">
        <v>80</v>
      </c>
      <c r="D20" s="98">
        <f ca="1" t="shared" si="5"/>
        <v>16</v>
      </c>
      <c r="E20" s="99">
        <f ca="1" t="shared" si="6"/>
        <v>0</v>
      </c>
      <c r="F20" s="99">
        <f ca="1" t="shared" si="7"/>
        <v>0</v>
      </c>
      <c r="G20" s="98">
        <f ca="1" t="shared" si="8"/>
        <v>0</v>
      </c>
      <c r="H20" s="99">
        <f ca="1" t="shared" si="9"/>
        <v>16</v>
      </c>
      <c r="I20" s="2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37"/>
    </row>
    <row r="21" ht="12.75" customHeight="1" spans="1:26">
      <c r="A21" s="2"/>
      <c r="B21" s="32">
        <v>11</v>
      </c>
      <c r="C21" s="97" t="s">
        <v>84</v>
      </c>
      <c r="D21" s="98">
        <f ca="1" t="shared" si="5"/>
        <v>22</v>
      </c>
      <c r="E21" s="99">
        <f ca="1" t="shared" si="6"/>
        <v>0</v>
      </c>
      <c r="F21" s="99">
        <f ca="1" t="shared" si="7"/>
        <v>0</v>
      </c>
      <c r="G21" s="98">
        <f ca="1" t="shared" si="8"/>
        <v>0</v>
      </c>
      <c r="H21" s="99">
        <f ca="1" t="shared" si="9"/>
        <v>22</v>
      </c>
      <c r="I21" s="2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37"/>
    </row>
    <row r="22" ht="12.75" customHeight="1" spans="1:26">
      <c r="A22" s="2"/>
      <c r="B22" s="32">
        <v>12</v>
      </c>
      <c r="C22" s="97" t="s">
        <v>91</v>
      </c>
      <c r="D22" s="98">
        <f ca="1" t="shared" si="0"/>
        <v>20</v>
      </c>
      <c r="E22" s="99">
        <f ca="1" t="shared" si="1"/>
        <v>0</v>
      </c>
      <c r="F22" s="99">
        <f ca="1" t="shared" si="2"/>
        <v>0</v>
      </c>
      <c r="G22" s="98">
        <f ca="1" t="shared" si="3"/>
        <v>0</v>
      </c>
      <c r="H22" s="99">
        <f ca="1" t="shared" si="4"/>
        <v>20</v>
      </c>
      <c r="I22" s="2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37"/>
    </row>
    <row r="23" ht="12.75" customHeight="1" spans="1:26">
      <c r="A23" s="2"/>
      <c r="B23" s="32">
        <v>13</v>
      </c>
      <c r="C23" s="97" t="s">
        <v>97</v>
      </c>
      <c r="D23" s="98">
        <f ca="1" t="shared" si="0"/>
        <v>21</v>
      </c>
      <c r="E23" s="99">
        <f ca="1" t="shared" si="1"/>
        <v>0</v>
      </c>
      <c r="F23" s="99">
        <f ca="1" t="shared" si="2"/>
        <v>0</v>
      </c>
      <c r="G23" s="98">
        <f ca="1" t="shared" si="3"/>
        <v>0</v>
      </c>
      <c r="H23" s="99">
        <f ca="1" t="shared" si="4"/>
        <v>21</v>
      </c>
      <c r="I23" s="2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37"/>
    </row>
    <row r="24" ht="12.75" customHeight="1" spans="1:26">
      <c r="A24" s="2"/>
      <c r="B24" s="32">
        <v>14</v>
      </c>
      <c r="C24" s="97" t="s">
        <v>108</v>
      </c>
      <c r="D24" s="98">
        <f ca="1" t="shared" si="0"/>
        <v>19</v>
      </c>
      <c r="E24" s="99">
        <f ca="1" t="shared" si="1"/>
        <v>0</v>
      </c>
      <c r="F24" s="99">
        <f ca="1" t="shared" si="2"/>
        <v>0</v>
      </c>
      <c r="G24" s="98">
        <f ca="1" t="shared" si="3"/>
        <v>0</v>
      </c>
      <c r="H24" s="99">
        <f ca="1" t="shared" si="4"/>
        <v>19</v>
      </c>
      <c r="I24" s="2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37"/>
    </row>
    <row r="25" ht="12.75" customHeight="1" spans="1:26">
      <c r="A25" s="2"/>
      <c r="B25" s="32">
        <v>15</v>
      </c>
      <c r="C25" s="97" t="s">
        <v>114</v>
      </c>
      <c r="D25" s="98">
        <f ca="1" t="shared" si="0"/>
        <v>50</v>
      </c>
      <c r="E25" s="99">
        <f ca="1" t="shared" si="1"/>
        <v>0</v>
      </c>
      <c r="F25" s="99">
        <f ca="1" t="shared" si="2"/>
        <v>0</v>
      </c>
      <c r="G25" s="98">
        <f ca="1" t="shared" si="3"/>
        <v>0</v>
      </c>
      <c r="H25" s="99">
        <f ca="1" t="shared" si="4"/>
        <v>50</v>
      </c>
      <c r="I25" s="2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37"/>
    </row>
    <row r="26" ht="12.75" customHeight="1" spans="1:26">
      <c r="A26" s="2"/>
      <c r="B26" s="32">
        <v>16</v>
      </c>
      <c r="C26" s="97" t="s">
        <v>122</v>
      </c>
      <c r="D26" s="98">
        <f ca="1" t="shared" ref="D26:D29" si="10">INDIRECT("'"&amp;C26&amp;"'!C$8")</f>
        <v>34</v>
      </c>
      <c r="E26" s="99">
        <f ca="1" t="shared" ref="E26:E29" si="11">INDIRECT("'"&amp;C26&amp;"'!D$8")</f>
        <v>0</v>
      </c>
      <c r="F26" s="99">
        <f ca="1" t="shared" ref="F26:F29" si="12">INDIRECT("'"&amp;C26&amp;"'!F$8")</f>
        <v>0</v>
      </c>
      <c r="G26" s="98">
        <f ca="1" t="shared" ref="G26:G29" si="13">INDIRECT("'"&amp;C26&amp;"'!G$8")</f>
        <v>0</v>
      </c>
      <c r="H26" s="99">
        <f ca="1" t="shared" ref="H26:H29" si="14">INDIRECT("'"&amp;C26&amp;"'!$C$4")</f>
        <v>34</v>
      </c>
      <c r="I26" s="2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37"/>
    </row>
    <row r="27" ht="12.75" customHeight="1" spans="1:26">
      <c r="A27" s="2"/>
      <c r="B27" s="32">
        <v>17</v>
      </c>
      <c r="C27" s="97" t="s">
        <v>126</v>
      </c>
      <c r="D27" s="98">
        <f ca="1" t="shared" si="10"/>
        <v>37</v>
      </c>
      <c r="E27" s="99">
        <f ca="1" t="shared" si="11"/>
        <v>0</v>
      </c>
      <c r="F27" s="99">
        <f ca="1" t="shared" si="12"/>
        <v>0</v>
      </c>
      <c r="G27" s="98">
        <f ca="1" t="shared" si="13"/>
        <v>0</v>
      </c>
      <c r="H27" s="99">
        <f ca="1" t="shared" si="14"/>
        <v>37</v>
      </c>
      <c r="I27" s="2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37"/>
    </row>
    <row r="28" ht="12.75" customHeight="1" spans="1:26">
      <c r="A28" s="2"/>
      <c r="B28" s="32">
        <v>18</v>
      </c>
      <c r="C28" s="97" t="s">
        <v>131</v>
      </c>
      <c r="D28" s="98">
        <f ca="1" t="shared" si="10"/>
        <v>25</v>
      </c>
      <c r="E28" s="99">
        <f ca="1" t="shared" si="11"/>
        <v>0</v>
      </c>
      <c r="F28" s="99">
        <f ca="1" t="shared" si="12"/>
        <v>0</v>
      </c>
      <c r="G28" s="98">
        <f ca="1" t="shared" si="13"/>
        <v>0</v>
      </c>
      <c r="H28" s="99">
        <f ca="1" t="shared" si="14"/>
        <v>25</v>
      </c>
      <c r="I28" s="2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37"/>
    </row>
    <row r="29" ht="12.75" customHeight="1" spans="1:26">
      <c r="A29" s="2"/>
      <c r="B29" s="32">
        <v>19</v>
      </c>
      <c r="C29" s="97" t="s">
        <v>133</v>
      </c>
      <c r="D29" s="98">
        <f ca="1" t="shared" si="10"/>
        <v>24</v>
      </c>
      <c r="E29" s="99">
        <f ca="1" t="shared" si="11"/>
        <v>0</v>
      </c>
      <c r="F29" s="99">
        <f ca="1" t="shared" si="12"/>
        <v>0</v>
      </c>
      <c r="G29" s="98">
        <f ca="1" t="shared" si="13"/>
        <v>0</v>
      </c>
      <c r="H29" s="99">
        <f ca="1" t="shared" si="14"/>
        <v>24</v>
      </c>
      <c r="I29" s="2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37"/>
    </row>
    <row r="30" ht="12.75" customHeight="1" spans="1:26">
      <c r="A30" s="2"/>
      <c r="B30" s="32">
        <v>20</v>
      </c>
      <c r="C30" s="97" t="s">
        <v>135</v>
      </c>
      <c r="D30" s="98">
        <f ca="1" t="shared" si="0"/>
        <v>28</v>
      </c>
      <c r="E30" s="99">
        <f ca="1" t="shared" si="1"/>
        <v>0</v>
      </c>
      <c r="F30" s="99">
        <f ca="1" t="shared" si="2"/>
        <v>0</v>
      </c>
      <c r="G30" s="98">
        <f ca="1" t="shared" si="3"/>
        <v>0</v>
      </c>
      <c r="H30" s="99">
        <f ca="1" t="shared" si="4"/>
        <v>28</v>
      </c>
      <c r="I30" s="2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37"/>
    </row>
    <row r="31" ht="12.75" customHeight="1" spans="1:26">
      <c r="A31" s="2"/>
      <c r="B31" s="32">
        <v>21</v>
      </c>
      <c r="C31" s="97" t="s">
        <v>141</v>
      </c>
      <c r="D31" s="98">
        <f ca="1" t="shared" si="0"/>
        <v>51</v>
      </c>
      <c r="E31" s="99">
        <f ca="1" t="shared" si="1"/>
        <v>0</v>
      </c>
      <c r="F31" s="99">
        <f ca="1" t="shared" si="2"/>
        <v>0</v>
      </c>
      <c r="G31" s="98">
        <f ca="1" t="shared" si="3"/>
        <v>0</v>
      </c>
      <c r="H31" s="99">
        <f ca="1" t="shared" si="4"/>
        <v>51</v>
      </c>
      <c r="I31" s="2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37"/>
    </row>
    <row r="32" ht="12.75" customHeight="1" spans="1:26">
      <c r="A32" s="2"/>
      <c r="B32" s="32">
        <v>22</v>
      </c>
      <c r="C32" s="97" t="s">
        <v>149</v>
      </c>
      <c r="D32" s="98">
        <f ca="1">INDIRECT("'"&amp;C32&amp;"'!C$8")</f>
        <v>20</v>
      </c>
      <c r="E32" s="99">
        <f ca="1">INDIRECT("'"&amp;C32&amp;"'!D$8")</f>
        <v>0</v>
      </c>
      <c r="F32" s="99">
        <f ca="1">INDIRECT("'"&amp;C32&amp;"'!F$8")</f>
        <v>0</v>
      </c>
      <c r="G32" s="98">
        <f ca="1">INDIRECT("'"&amp;C32&amp;"'!G$8")</f>
        <v>0</v>
      </c>
      <c r="H32" s="99">
        <f ca="1">INDIRECT("'"&amp;C32&amp;"'!$C$4")</f>
        <v>20</v>
      </c>
      <c r="I32" s="2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37"/>
    </row>
    <row r="33" ht="12.75" customHeight="1" spans="1:26">
      <c r="A33" s="2"/>
      <c r="B33" s="32">
        <v>23</v>
      </c>
      <c r="C33" s="97" t="s">
        <v>153</v>
      </c>
      <c r="D33" s="98">
        <f ca="1" t="shared" si="0"/>
        <v>43</v>
      </c>
      <c r="E33" s="99">
        <f ca="1" t="shared" si="1"/>
        <v>0</v>
      </c>
      <c r="F33" s="99">
        <f ca="1" t="shared" si="2"/>
        <v>0</v>
      </c>
      <c r="G33" s="98">
        <f ca="1" t="shared" si="3"/>
        <v>0</v>
      </c>
      <c r="H33" s="99">
        <f ca="1" t="shared" si="4"/>
        <v>43</v>
      </c>
      <c r="I33" s="2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37"/>
    </row>
    <row r="34" ht="12.75" customHeight="1" spans="1:26">
      <c r="A34" s="2"/>
      <c r="B34" s="32">
        <v>24</v>
      </c>
      <c r="C34" s="97" t="s">
        <v>166</v>
      </c>
      <c r="D34" s="98">
        <f ca="1">INDIRECT("'"&amp;C34&amp;"'!C$8")</f>
        <v>18</v>
      </c>
      <c r="E34" s="99">
        <f ca="1">INDIRECT("'"&amp;C34&amp;"'!D$8")</f>
        <v>0</v>
      </c>
      <c r="F34" s="99">
        <f ca="1">INDIRECT("'"&amp;C34&amp;"'!F$8")</f>
        <v>0</v>
      </c>
      <c r="G34" s="98">
        <f ca="1">INDIRECT("'"&amp;C34&amp;"'!G$8")</f>
        <v>0</v>
      </c>
      <c r="H34" s="99">
        <f ca="1">INDIRECT("'"&amp;C34&amp;"'!$C$4")</f>
        <v>18</v>
      </c>
      <c r="I34" s="2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37"/>
    </row>
    <row r="35" ht="12.75" customHeight="1" spans="1:26">
      <c r="A35" s="2"/>
      <c r="B35" s="32">
        <v>25</v>
      </c>
      <c r="C35" s="97" t="s">
        <v>173</v>
      </c>
      <c r="D35" s="98">
        <f ca="1" t="shared" si="0"/>
        <v>36</v>
      </c>
      <c r="E35" s="99">
        <f ca="1" t="shared" si="1"/>
        <v>0</v>
      </c>
      <c r="F35" s="99">
        <f ca="1" t="shared" si="2"/>
        <v>0</v>
      </c>
      <c r="G35" s="98">
        <f ca="1" t="shared" si="3"/>
        <v>0</v>
      </c>
      <c r="H35" s="99">
        <f ca="1" t="shared" si="4"/>
        <v>36</v>
      </c>
      <c r="I35" s="2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37"/>
    </row>
    <row r="36" ht="12.75" customHeight="1" spans="1:26">
      <c r="A36" s="2"/>
      <c r="B36" s="32">
        <v>26</v>
      </c>
      <c r="C36" s="97" t="s">
        <v>186</v>
      </c>
      <c r="D36" s="98">
        <f ca="1" t="shared" si="0"/>
        <v>57</v>
      </c>
      <c r="E36" s="99">
        <f ca="1" t="shared" si="1"/>
        <v>0</v>
      </c>
      <c r="F36" s="99">
        <f ca="1" t="shared" si="2"/>
        <v>0</v>
      </c>
      <c r="G36" s="98">
        <f ca="1" t="shared" si="3"/>
        <v>0</v>
      </c>
      <c r="H36" s="99">
        <f ca="1" t="shared" si="4"/>
        <v>57</v>
      </c>
      <c r="I36" s="2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7"/>
    </row>
    <row r="37" ht="12.75" customHeight="1" spans="1:26">
      <c r="A37" s="2"/>
      <c r="B37" s="32"/>
      <c r="C37" s="101"/>
      <c r="D37" s="98"/>
      <c r="E37" s="102"/>
      <c r="F37" s="102"/>
      <c r="G37" s="103"/>
      <c r="H37" s="102"/>
      <c r="I37" s="2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7"/>
    </row>
    <row r="38" ht="12.75" customHeight="1" spans="1:26">
      <c r="A38" s="2"/>
      <c r="B38" s="32"/>
      <c r="C38" s="101"/>
      <c r="D38" s="98"/>
      <c r="E38" s="102"/>
      <c r="F38" s="102"/>
      <c r="G38" s="103"/>
      <c r="H38" s="102"/>
      <c r="I38" s="2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7"/>
    </row>
    <row r="39" ht="12.75" customHeight="1" spans="1:26">
      <c r="A39" s="2"/>
      <c r="B39" s="32"/>
      <c r="C39" s="101"/>
      <c r="D39" s="98"/>
      <c r="E39" s="102"/>
      <c r="F39" s="102"/>
      <c r="G39" s="103"/>
      <c r="H39" s="102"/>
      <c r="I39" s="2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7"/>
    </row>
    <row r="40" ht="12.75" customHeight="1" spans="1:26">
      <c r="A40" s="92"/>
      <c r="B40" s="104"/>
      <c r="C40" s="105"/>
      <c r="D40" s="105">
        <f ca="1" t="shared" ref="D40:H40" si="15">SUM(D11:D39)</f>
        <v>722</v>
      </c>
      <c r="E40" s="105">
        <f ca="1" t="shared" si="15"/>
        <v>0</v>
      </c>
      <c r="F40" s="105">
        <f ca="1" t="shared" si="15"/>
        <v>0</v>
      </c>
      <c r="G40" s="106">
        <f ca="1" t="shared" si="15"/>
        <v>0</v>
      </c>
      <c r="H40" s="107">
        <f ca="1" t="shared" si="15"/>
        <v>722</v>
      </c>
      <c r="I40" s="2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7"/>
    </row>
    <row r="41" ht="12.75" customHeight="1" spans="1:26">
      <c r="A41" s="2"/>
      <c r="B41" s="2"/>
      <c r="C41" s="108"/>
      <c r="D41" s="109"/>
      <c r="E41" s="109"/>
      <c r="F41" s="109"/>
      <c r="G41" s="109"/>
      <c r="H41" s="2"/>
      <c r="I41" s="2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7"/>
    </row>
    <row r="42" ht="12.75" customHeight="1" spans="1:26">
      <c r="A42" s="2"/>
      <c r="B42" s="2"/>
      <c r="C42" s="110" t="s">
        <v>214</v>
      </c>
      <c r="D42" s="85"/>
      <c r="E42" s="111">
        <f ca="1">(D40+E40)*100/(H40-G40)</f>
        <v>100</v>
      </c>
      <c r="F42" s="112" t="s">
        <v>215</v>
      </c>
      <c r="G42" s="20"/>
      <c r="H42" s="2"/>
      <c r="I42" s="2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7"/>
    </row>
    <row r="43" ht="12.75" customHeight="1" spans="1:26">
      <c r="A43" s="2"/>
      <c r="B43" s="2"/>
      <c r="C43" s="113" t="s">
        <v>216</v>
      </c>
      <c r="D43" s="114"/>
      <c r="E43" s="111">
        <f ca="1">D40*100/(H40-G40)</f>
        <v>100</v>
      </c>
      <c r="F43" s="112" t="s">
        <v>215</v>
      </c>
      <c r="G43" s="20"/>
      <c r="H43" s="2"/>
      <c r="I43" s="2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7"/>
    </row>
    <row r="44" ht="12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7"/>
    </row>
    <row r="45" ht="12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7"/>
    </row>
    <row r="46" ht="12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7"/>
    </row>
    <row r="47" ht="12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7"/>
    </row>
    <row r="48" ht="12.75" customHeight="1" spans="1:26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7"/>
    </row>
    <row r="49" ht="12.75" customHeight="1" spans="1:26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7"/>
    </row>
    <row r="50" ht="12.75" customHeight="1" spans="1:26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7"/>
    </row>
    <row r="51" ht="12.75" customHeight="1" spans="1:26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7"/>
    </row>
    <row r="52" ht="12.75" customHeight="1" spans="1:26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7"/>
    </row>
    <row r="53" ht="12.75" customHeight="1" spans="1:26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7"/>
    </row>
    <row r="54" ht="12.75" customHeight="1" spans="1:26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7"/>
    </row>
    <row r="55" ht="12.75" customHeight="1" spans="1:26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7"/>
    </row>
    <row r="56" ht="12.75" customHeight="1" spans="1:2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7"/>
    </row>
    <row r="57" ht="12.75" customHeight="1" spans="1:26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7"/>
    </row>
    <row r="58" ht="12.75" customHeight="1" spans="1:26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7"/>
    </row>
    <row r="59" ht="12.75" customHeight="1" spans="1:26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7"/>
    </row>
    <row r="60" ht="12.75" customHeight="1" spans="1:26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7"/>
    </row>
    <row r="61" ht="12.75" customHeight="1" spans="1:26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7"/>
    </row>
    <row r="62" ht="12.75" customHeight="1" spans="1:26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7"/>
    </row>
    <row r="63" ht="12.75" customHeight="1" spans="1:26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7"/>
    </row>
    <row r="64" ht="12.75" customHeight="1" spans="1:26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7"/>
    </row>
    <row r="65" ht="12.75" customHeight="1" spans="1:26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7"/>
    </row>
    <row r="66" ht="12.75" customHeight="1" spans="1:2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7"/>
    </row>
    <row r="67" ht="12.75" customHeight="1" spans="1:26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7"/>
    </row>
    <row r="68" ht="12.75" customHeight="1" spans="1:26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7"/>
    </row>
    <row r="69" ht="12.75" customHeight="1" spans="1:26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7"/>
    </row>
    <row r="70" ht="12.75" customHeight="1" spans="1:26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7"/>
    </row>
    <row r="71" ht="12.75" customHeight="1" spans="1:26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7"/>
    </row>
    <row r="72" ht="12.75" customHeight="1" spans="1:26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37"/>
    </row>
    <row r="73" ht="12.75" customHeight="1" spans="1:26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37"/>
    </row>
    <row r="74" ht="12.75" customHeight="1" spans="1:26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37"/>
    </row>
    <row r="75" ht="12.75" customHeight="1" spans="1:26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37"/>
    </row>
    <row r="76" ht="12.75" customHeight="1" spans="1:2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37"/>
    </row>
    <row r="77" ht="12.75" customHeight="1" spans="1:26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37"/>
    </row>
    <row r="78" ht="12.75" customHeight="1" spans="1:26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37"/>
    </row>
    <row r="79" ht="12.75" customHeight="1" spans="1:26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37"/>
    </row>
    <row r="80" ht="12.75" customHeight="1" spans="1:26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37"/>
    </row>
    <row r="81" ht="12.75" customHeight="1" spans="1:26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37"/>
    </row>
    <row r="82" ht="12.75" customHeight="1" spans="1:26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37"/>
    </row>
    <row r="83" ht="12.75" customHeight="1" spans="1:26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37"/>
    </row>
    <row r="84" ht="12.75" customHeight="1" spans="1:26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37"/>
    </row>
    <row r="85" ht="12.75" customHeight="1" spans="1:26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37"/>
    </row>
    <row r="86" ht="12.75" customHeight="1" spans="1:2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37"/>
    </row>
    <row r="87" ht="12.75" customHeight="1" spans="1:26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37"/>
    </row>
    <row r="88" ht="12.75" customHeight="1" spans="1:26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37"/>
    </row>
    <row r="89" ht="12.75" customHeight="1" spans="1:26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37"/>
    </row>
    <row r="90" ht="12.75" customHeight="1" spans="1:26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37"/>
    </row>
    <row r="91" ht="12.75" customHeight="1" spans="1:26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37"/>
    </row>
    <row r="92" ht="12.75" customHeight="1" spans="1:26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37"/>
    </row>
    <row r="93" ht="12.75" customHeight="1" spans="1:26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37"/>
    </row>
    <row r="94" ht="12.75" customHeight="1" spans="1:26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37"/>
    </row>
    <row r="95" ht="12.75" customHeight="1" spans="1:26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37"/>
    </row>
    <row r="96" ht="12.75" customHeight="1" spans="1:2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37"/>
    </row>
    <row r="97" ht="12.75" customHeight="1" spans="1:26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37"/>
    </row>
    <row r="98" ht="12.75" customHeight="1" spans="1:26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37"/>
    </row>
    <row r="99" ht="12.75" customHeight="1" spans="1:26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37"/>
    </row>
    <row r="100" ht="12.75" customHeight="1" spans="1:26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37"/>
    </row>
    <row r="101" ht="12.75" customHeight="1" spans="1:26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37"/>
    </row>
    <row r="102" ht="12.75" customHeight="1" spans="1:26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37"/>
    </row>
    <row r="103" ht="12.75" customHeight="1" spans="1:26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37"/>
    </row>
    <row r="104" ht="12.75" customHeight="1" spans="1:26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37"/>
    </row>
    <row r="105" ht="12.75" customHeight="1" spans="1:26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37"/>
    </row>
    <row r="106" ht="12.75" customHeight="1" spans="1:2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37"/>
    </row>
    <row r="107" ht="12.75" customHeight="1" spans="1:26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37"/>
    </row>
    <row r="108" ht="12.75" customHeight="1" spans="1:26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37"/>
    </row>
    <row r="109" ht="12.75" customHeight="1" spans="1:26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37"/>
    </row>
    <row r="110" ht="12.75" customHeight="1" spans="1:26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37"/>
    </row>
    <row r="111" ht="12.75" customHeight="1" spans="1:26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37"/>
    </row>
    <row r="112" ht="12.75" customHeight="1" spans="1:26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37"/>
    </row>
    <row r="113" ht="12.75" customHeight="1" spans="1:26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37"/>
    </row>
    <row r="114" ht="12.75" customHeight="1" spans="1:26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37"/>
    </row>
    <row r="115" ht="12.75" customHeight="1" spans="1:26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37"/>
    </row>
    <row r="116" ht="12.75" customHeight="1" spans="1:2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37"/>
    </row>
    <row r="117" ht="12.75" customHeight="1" spans="1:26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37"/>
    </row>
    <row r="118" ht="12.75" customHeight="1" spans="1:26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37"/>
    </row>
    <row r="119" ht="12.75" customHeight="1" spans="1:26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37"/>
    </row>
    <row r="120" ht="12.75" customHeight="1" spans="1:26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37"/>
    </row>
    <row r="121" ht="12.75" customHeight="1" spans="1:26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37"/>
    </row>
    <row r="122" ht="12.75" customHeight="1" spans="1:26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37"/>
    </row>
    <row r="123" ht="12.75" customHeight="1" spans="1:26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37"/>
    </row>
    <row r="124" ht="12.75" customHeight="1" spans="1:26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37"/>
    </row>
    <row r="125" ht="12.75" customHeight="1" spans="1:26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37"/>
    </row>
    <row r="126" ht="12.75" customHeight="1" spans="1: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37"/>
    </row>
    <row r="127" ht="12.75" customHeight="1" spans="1:26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37"/>
    </row>
    <row r="128" ht="12.75" customHeight="1" spans="1:26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37"/>
    </row>
    <row r="129" ht="12.75" customHeight="1" spans="1:26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37"/>
    </row>
    <row r="130" ht="12.75" customHeight="1" spans="1:26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37"/>
    </row>
    <row r="131" ht="12.75" customHeight="1" spans="1:26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37"/>
    </row>
    <row r="132" ht="12.75" customHeight="1" spans="1:26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37"/>
    </row>
    <row r="133" ht="12.75" customHeight="1" spans="1:26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37"/>
    </row>
    <row r="134" ht="12.75" customHeight="1" spans="1:26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37"/>
    </row>
    <row r="135" ht="12.75" customHeight="1" spans="1:26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37"/>
    </row>
    <row r="136" ht="12.75" customHeight="1" spans="1:2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37"/>
    </row>
    <row r="137" ht="12.75" customHeight="1" spans="1:26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37"/>
    </row>
    <row r="138" ht="12.75" customHeight="1" spans="1:26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37"/>
    </row>
    <row r="139" ht="12.75" customHeight="1" spans="1:26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37"/>
    </row>
    <row r="140" ht="12.75" customHeight="1" spans="1:26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37"/>
    </row>
    <row r="141" ht="12.75" customHeight="1" spans="1:26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37"/>
    </row>
    <row r="142" ht="12.75" customHeight="1" spans="1:26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37"/>
    </row>
    <row r="143" ht="12.75" customHeight="1" spans="1:26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37"/>
    </row>
    <row r="144" ht="12.75" customHeight="1" spans="1:26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37"/>
    </row>
    <row r="145" ht="12.75" customHeight="1" spans="1:26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37"/>
    </row>
    <row r="146" ht="12.75" customHeight="1" spans="1:2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37"/>
    </row>
    <row r="147" ht="12.75" customHeight="1" spans="1:26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37"/>
    </row>
    <row r="148" ht="12.75" customHeight="1" spans="1:26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37"/>
    </row>
    <row r="149" ht="12.75" customHeight="1" spans="1:26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37"/>
    </row>
    <row r="150" ht="12.75" customHeight="1" spans="1:26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37"/>
    </row>
    <row r="151" ht="12.75" customHeight="1" spans="1:26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37"/>
    </row>
    <row r="152" ht="12.75" customHeight="1" spans="1:26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37"/>
    </row>
    <row r="153" ht="12.75" customHeight="1" spans="1:26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37"/>
    </row>
    <row r="154" ht="12.75" customHeight="1" spans="1:26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37"/>
    </row>
    <row r="155" ht="12.75" customHeight="1" spans="1:26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37"/>
    </row>
    <row r="156" ht="12.75" customHeight="1" spans="1:2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37"/>
    </row>
    <row r="157" ht="12.75" customHeight="1" spans="1:26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37"/>
    </row>
    <row r="158" ht="12.75" customHeight="1" spans="1:26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37"/>
    </row>
    <row r="159" ht="12.75" customHeight="1" spans="1:26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37"/>
    </row>
    <row r="160" ht="12.75" customHeight="1" spans="1:26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37"/>
    </row>
    <row r="161" ht="12.75" customHeight="1" spans="1:26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37"/>
    </row>
    <row r="162" ht="12.75" customHeight="1" spans="1:26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37"/>
    </row>
    <row r="163" ht="12.75" customHeight="1" spans="1:26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37"/>
    </row>
    <row r="164" ht="12.75" customHeight="1" spans="1:26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37"/>
    </row>
    <row r="165" ht="12.75" customHeight="1" spans="1:26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37"/>
    </row>
    <row r="166" ht="12.75" customHeight="1" spans="1:2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37"/>
    </row>
    <row r="167" ht="12.75" customHeight="1" spans="1:26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37"/>
    </row>
    <row r="168" ht="12.75" customHeight="1" spans="1:26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37"/>
    </row>
    <row r="169" ht="12.75" customHeight="1" spans="1:26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37"/>
    </row>
    <row r="170" ht="12.75" customHeight="1" spans="1:26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37"/>
    </row>
    <row r="171" ht="12.75" customHeight="1" spans="1:26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37"/>
    </row>
    <row r="172" ht="12.75" customHeight="1" spans="1:26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37"/>
    </row>
    <row r="173" ht="12.75" customHeight="1" spans="1:26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37"/>
    </row>
    <row r="174" ht="12.75" customHeight="1" spans="1:26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37"/>
    </row>
    <row r="175" ht="12.75" customHeight="1" spans="1:26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37"/>
    </row>
    <row r="176" ht="12.75" customHeight="1" spans="1:2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37"/>
    </row>
    <row r="177" ht="12.75" customHeight="1" spans="1:26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37"/>
    </row>
    <row r="178" ht="12.75" customHeight="1" spans="1:26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37"/>
    </row>
    <row r="179" ht="12.75" customHeight="1" spans="1:26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37"/>
    </row>
    <row r="180" ht="12.75" customHeight="1" spans="1:26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37"/>
    </row>
    <row r="181" ht="12.75" customHeight="1" spans="1:26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37"/>
    </row>
    <row r="182" ht="12.75" customHeight="1" spans="1:26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37"/>
    </row>
    <row r="183" ht="12.75" customHeight="1" spans="1:26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37"/>
    </row>
    <row r="184" ht="12.75" customHeight="1" spans="1:26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37"/>
    </row>
    <row r="185" ht="12.75" customHeight="1" spans="1:26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37"/>
    </row>
    <row r="186" ht="12.75" customHeight="1" spans="1:2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37"/>
    </row>
    <row r="187" ht="12.75" customHeight="1" spans="1:26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37"/>
    </row>
    <row r="188" ht="12.75" customHeight="1" spans="1:26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37"/>
    </row>
    <row r="189" ht="12.75" customHeight="1" spans="1:26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37"/>
    </row>
    <row r="190" ht="12.75" customHeight="1" spans="1:26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37"/>
    </row>
    <row r="191" ht="12.75" customHeight="1" spans="1:26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37"/>
    </row>
    <row r="192" ht="12.75" customHeight="1" spans="1:26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37"/>
    </row>
    <row r="193" ht="12.75" customHeight="1" spans="1:26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37"/>
    </row>
    <row r="194" ht="12.75" customHeight="1" spans="1:26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37"/>
    </row>
    <row r="195" ht="12.75" customHeight="1" spans="1:26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37"/>
    </row>
    <row r="196" ht="12.75" customHeight="1" spans="1:2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37"/>
    </row>
    <row r="197" ht="12.75" customHeight="1" spans="1:26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37"/>
    </row>
    <row r="198" ht="12.75" customHeight="1" spans="1:26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37"/>
    </row>
    <row r="199" ht="12.75" customHeight="1" spans="1:26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37"/>
    </row>
    <row r="200" ht="12.75" customHeight="1" spans="1:26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37"/>
    </row>
    <row r="201" ht="12.75" customHeight="1" spans="1:26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37"/>
    </row>
    <row r="202" ht="12.75" customHeight="1" spans="1:26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37"/>
    </row>
    <row r="203" ht="12.75" customHeight="1" spans="1:26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37"/>
    </row>
    <row r="204" ht="12.75" customHeight="1" spans="1:26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37"/>
    </row>
    <row r="205" ht="12.75" customHeight="1" spans="1:26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37"/>
    </row>
    <row r="206" ht="12.75" customHeight="1" spans="1:2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37"/>
    </row>
    <row r="207" ht="12.75" customHeight="1" spans="1:26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37"/>
    </row>
    <row r="208" ht="12.75" customHeight="1" spans="1:26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37"/>
    </row>
    <row r="209" ht="12.75" customHeight="1" spans="1:26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37"/>
    </row>
    <row r="210" ht="12.75" customHeight="1" spans="1:26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37"/>
    </row>
    <row r="211" ht="12.75" customHeight="1" spans="1:26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37"/>
    </row>
    <row r="212" ht="12.75" customHeight="1" spans="1:26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37"/>
    </row>
    <row r="213" ht="12.75" customHeight="1" spans="1:26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37"/>
    </row>
    <row r="214" ht="12.75" customHeight="1" spans="1:26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37"/>
    </row>
    <row r="215" ht="12.75" customHeight="1" spans="1:26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37"/>
    </row>
    <row r="216" ht="12.75" customHeight="1" spans="1:2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37"/>
    </row>
    <row r="217" ht="12.75" customHeight="1" spans="1:26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37"/>
    </row>
    <row r="218" ht="12.75" customHeight="1" spans="1:26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37"/>
    </row>
    <row r="219" ht="12.75" customHeight="1" spans="1:26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37"/>
    </row>
    <row r="220" ht="12.75" customHeight="1" spans="1:26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37"/>
    </row>
    <row r="221" ht="12.75" customHeight="1" spans="1:26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37"/>
    </row>
    <row r="222" ht="12.75" customHeight="1" spans="1:26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37"/>
    </row>
    <row r="223" ht="12.75" customHeight="1" spans="1:26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37"/>
    </row>
    <row r="224" ht="12.75" customHeight="1" spans="1:26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37"/>
    </row>
    <row r="225" ht="12.75" customHeight="1" spans="1:26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37"/>
    </row>
    <row r="226" ht="12.75" customHeight="1" spans="1: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37"/>
    </row>
    <row r="227" ht="12.75" customHeight="1" spans="1:26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37"/>
    </row>
    <row r="228" ht="12.75" customHeight="1" spans="1:26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37"/>
    </row>
    <row r="229" ht="12.75" customHeight="1" spans="1:26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37"/>
    </row>
    <row r="230" ht="12.75" customHeight="1" spans="1:26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37"/>
    </row>
    <row r="231" ht="12.75" customHeight="1" spans="1:26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37"/>
    </row>
    <row r="232" ht="12.75" customHeight="1" spans="1:26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37"/>
    </row>
    <row r="233" ht="12.75" customHeight="1" spans="1:26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37"/>
    </row>
    <row r="234" ht="12.75" customHeight="1" spans="1:26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37"/>
    </row>
    <row r="235" ht="12.75" customHeight="1" spans="1:26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37"/>
    </row>
    <row r="236" ht="12.75" customHeight="1" spans="1:2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37"/>
    </row>
    <row r="237" ht="12.75" customHeight="1" spans="1:26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37"/>
    </row>
    <row r="238" ht="12.75" customHeight="1" spans="1:26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37"/>
    </row>
    <row r="239" ht="12.75" customHeight="1" spans="1:26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37"/>
    </row>
    <row r="240" ht="12.75" customHeight="1" spans="1:26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37"/>
    </row>
    <row r="241" ht="12.75" customHeight="1" spans="1:26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37"/>
    </row>
    <row r="242" ht="12.75" customHeight="1" spans="1:26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37"/>
    </row>
    <row r="243" ht="12.75" customHeight="1" spans="1:26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37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7">
    <mergeCell ref="D3:E3"/>
    <mergeCell ref="D4:E4"/>
    <mergeCell ref="D5:E5"/>
    <mergeCell ref="C6:G6"/>
    <mergeCell ref="C42:D42"/>
    <mergeCell ref="C43:D43"/>
    <mergeCell ref="B1:G2"/>
  </mergeCells>
  <hyperlinks>
    <hyperlink ref="C11" location="Address!A1" display="Address"/>
    <hyperlink ref="C12" location="null!A1" display="Admin"/>
    <hyperlink ref="C13" location="Attributes!A1" display="Attributes"/>
    <hyperlink ref="C15" location="Auth!A1" display="Auth"/>
    <hyperlink ref="C16" location="'User Preference'!A1" display="User Preference"/>
    <hyperlink ref="C17" location="Block!A1" display="Block"/>
    <hyperlink ref="C18" location="'Chat AI'!A1" display="Chat AI"/>
    <hyperlink ref="C19" location="'Chat Expert'!A1" display="Chat Expert"/>
    <hyperlink ref="C20" location="'Chat User'!A1" display="Chat User"/>
    <hyperlink ref="C21" location="'Expert Confirmation'!A1" display="Expert Confirmation"/>
    <hyperlink ref="C22" location="Match!A1" display="Match"/>
    <hyperlink ref="C23" location="Notification!A1" display="Notification"/>
    <hyperlink ref="C24" location="Payment!A1" display="Payment"/>
    <hyperlink ref="C25" location="Pet!A1" display="Pet"/>
    <hyperlink ref="C26" location="'Pet Characteristic'!A1" display="Pet Characteristic"/>
    <hyperlink ref="C27" location="'Pet Photo'!A1" display="Pet Photo"/>
    <hyperlink ref="C28" location="'Pet Recommendation'!A1" display="Pet Recommendation"/>
    <hyperlink ref="C29" location="'Pet Image Analysis'!A1" display="Pet Image Analysis"/>
    <hyperlink ref="C30" location="Report!A1" display="Report"/>
    <hyperlink ref="C31" location="User!A1" display="User"/>
    <hyperlink ref="C32" location="'User Preference'!A1" display="User Preference"/>
    <hyperlink ref="C33" location="Appointment!A1" display="Appointment"/>
    <hyperlink ref="C34" location="'Bad Word'!A1" display="Bad Word"/>
    <hyperlink ref="C35" location="Event!A1" display="Event"/>
    <hyperlink ref="C14" location="Attribute_Options!A1" display="Attribute Options"/>
    <hyperlink ref="C36" location="Policy!A1" display="Policy"/>
  </hyperlinks>
  <pageMargins left="0.747916666666667" right="0.747916666666667" top="0.984027777777778" bottom="0.984027777777778" header="0" footer="0"/>
  <pageSetup paperSize="1" orientation="landscape"/>
  <headerFooter>
    <oddFooter>&amp;L 02ae-BM/PM/HDCV/FSOFT v2/0&amp;CInternal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26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108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COUNTA(B11:B960)-COUNTIF($N11:$N960,"Skip")</f>
        <v>19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COUNTIF($G11:$G960,C5)</f>
        <v>19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COUNTIF($L11:$L960,C5)</f>
        <v>19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COUNTIF($O11:$O960,C5)</f>
        <v>19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52.8" spans="1:29">
      <c r="A11" s="30" t="s">
        <v>107</v>
      </c>
      <c r="B11" s="30" t="s">
        <v>233</v>
      </c>
      <c r="C11" s="30" t="s">
        <v>234</v>
      </c>
      <c r="D11" s="31" t="s">
        <v>235</v>
      </c>
      <c r="E11" s="31" t="s">
        <v>236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4</v>
      </c>
      <c r="L11" s="42" t="s">
        <v>209</v>
      </c>
      <c r="M11" s="40">
        <v>45993</v>
      </c>
      <c r="N11" s="41" t="s">
        <v>4</v>
      </c>
      <c r="O11" s="42" t="s">
        <v>209</v>
      </c>
      <c r="P11" s="40">
        <v>45995</v>
      </c>
      <c r="Q11" s="41" t="s">
        <v>4</v>
      </c>
      <c r="R11" s="4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52.8" spans="1:29">
      <c r="A12" s="30" t="s">
        <v>107</v>
      </c>
      <c r="B12" s="30" t="s">
        <v>238</v>
      </c>
      <c r="C12" s="30" t="s">
        <v>239</v>
      </c>
      <c r="D12" s="31" t="s">
        <v>240</v>
      </c>
      <c r="E12" s="31" t="s">
        <v>241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4</v>
      </c>
      <c r="L12" s="42" t="s">
        <v>209</v>
      </c>
      <c r="M12" s="40">
        <v>45993</v>
      </c>
      <c r="N12" s="41" t="s">
        <v>4</v>
      </c>
      <c r="O12" s="42" t="s">
        <v>209</v>
      </c>
      <c r="P12" s="40">
        <v>45995</v>
      </c>
      <c r="Q12" s="41" t="s">
        <v>4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52.8" spans="1:29">
      <c r="A13" s="30" t="s">
        <v>107</v>
      </c>
      <c r="B13" s="30" t="s">
        <v>242</v>
      </c>
      <c r="C13" s="30" t="s">
        <v>243</v>
      </c>
      <c r="D13" s="31" t="s">
        <v>244</v>
      </c>
      <c r="E13" s="31" t="s">
        <v>241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4</v>
      </c>
      <c r="L13" s="42" t="s">
        <v>209</v>
      </c>
      <c r="M13" s="40">
        <v>45993</v>
      </c>
      <c r="N13" s="41" t="s">
        <v>4</v>
      </c>
      <c r="O13" s="42" t="s">
        <v>209</v>
      </c>
      <c r="P13" s="40">
        <v>45995</v>
      </c>
      <c r="Q13" s="41" t="s">
        <v>4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52.8" spans="1:29">
      <c r="A14" s="30" t="s">
        <v>107</v>
      </c>
      <c r="B14" s="30" t="s">
        <v>245</v>
      </c>
      <c r="C14" s="30" t="s">
        <v>246</v>
      </c>
      <c r="D14" s="31" t="s">
        <v>247</v>
      </c>
      <c r="E14" s="31" t="s">
        <v>248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4</v>
      </c>
      <c r="L14" s="42" t="s">
        <v>209</v>
      </c>
      <c r="M14" s="40">
        <v>45993</v>
      </c>
      <c r="N14" s="41" t="s">
        <v>4</v>
      </c>
      <c r="O14" s="42" t="s">
        <v>209</v>
      </c>
      <c r="P14" s="40">
        <v>45995</v>
      </c>
      <c r="Q14" s="41" t="s">
        <v>4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52.8" spans="1:29">
      <c r="A15" s="30" t="s">
        <v>107</v>
      </c>
      <c r="B15" s="30" t="s">
        <v>249</v>
      </c>
      <c r="C15" s="30" t="s">
        <v>250</v>
      </c>
      <c r="D15" s="31" t="s">
        <v>251</v>
      </c>
      <c r="E15" s="31" t="s">
        <v>248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4</v>
      </c>
      <c r="L15" s="42" t="s">
        <v>209</v>
      </c>
      <c r="M15" s="40">
        <v>45993</v>
      </c>
      <c r="N15" s="41" t="s">
        <v>4</v>
      </c>
      <c r="O15" s="42" t="s">
        <v>209</v>
      </c>
      <c r="P15" s="40">
        <v>45995</v>
      </c>
      <c r="Q15" s="41" t="s">
        <v>4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39.6" spans="1:29">
      <c r="A16" s="30" t="s">
        <v>107</v>
      </c>
      <c r="B16" s="30" t="s">
        <v>252</v>
      </c>
      <c r="C16" s="30" t="s">
        <v>253</v>
      </c>
      <c r="D16" s="31" t="s">
        <v>254</v>
      </c>
      <c r="E16" s="31" t="s">
        <v>255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4</v>
      </c>
      <c r="L16" s="42" t="s">
        <v>209</v>
      </c>
      <c r="M16" s="40">
        <v>45993</v>
      </c>
      <c r="N16" s="41" t="s">
        <v>4</v>
      </c>
      <c r="O16" s="42" t="s">
        <v>209</v>
      </c>
      <c r="P16" s="40">
        <v>45995</v>
      </c>
      <c r="Q16" s="41" t="s">
        <v>4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52.8" spans="1:29">
      <c r="A17" s="30" t="s">
        <v>107</v>
      </c>
      <c r="B17" s="30" t="s">
        <v>256</v>
      </c>
      <c r="C17" s="30" t="s">
        <v>257</v>
      </c>
      <c r="D17" s="31" t="s">
        <v>235</v>
      </c>
      <c r="E17" s="31" t="s">
        <v>258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4</v>
      </c>
      <c r="L17" s="42" t="s">
        <v>209</v>
      </c>
      <c r="M17" s="40">
        <v>45993</v>
      </c>
      <c r="N17" s="41" t="s">
        <v>4</v>
      </c>
      <c r="O17" s="42" t="s">
        <v>209</v>
      </c>
      <c r="P17" s="40">
        <v>45995</v>
      </c>
      <c r="Q17" s="41" t="s">
        <v>4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171.6" spans="1:29">
      <c r="A18" s="30" t="s">
        <v>109</v>
      </c>
      <c r="B18" s="30" t="s">
        <v>259</v>
      </c>
      <c r="C18" s="30" t="s">
        <v>260</v>
      </c>
      <c r="D18" s="31" t="s">
        <v>261</v>
      </c>
      <c r="E18" s="31" t="s">
        <v>262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4</v>
      </c>
      <c r="L18" s="42" t="s">
        <v>209</v>
      </c>
      <c r="M18" s="40">
        <v>45993</v>
      </c>
      <c r="N18" s="41" t="s">
        <v>4</v>
      </c>
      <c r="O18" s="42" t="s">
        <v>209</v>
      </c>
      <c r="P18" s="40">
        <v>45995</v>
      </c>
      <c r="Q18" s="41" t="s">
        <v>4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79.2" spans="1:29">
      <c r="A19" s="30" t="s">
        <v>109</v>
      </c>
      <c r="B19" s="30" t="s">
        <v>263</v>
      </c>
      <c r="C19" s="30" t="s">
        <v>264</v>
      </c>
      <c r="D19" s="31" t="s">
        <v>265</v>
      </c>
      <c r="E19" s="31" t="s">
        <v>266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4</v>
      </c>
      <c r="L19" s="42" t="s">
        <v>209</v>
      </c>
      <c r="M19" s="40">
        <v>45993</v>
      </c>
      <c r="N19" s="41" t="s">
        <v>4</v>
      </c>
      <c r="O19" s="42" t="s">
        <v>209</v>
      </c>
      <c r="P19" s="40">
        <v>45995</v>
      </c>
      <c r="Q19" s="41" t="s">
        <v>4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171.6" spans="1:29">
      <c r="A20" s="30" t="s">
        <v>109</v>
      </c>
      <c r="B20" s="30" t="s">
        <v>267</v>
      </c>
      <c r="C20" s="30" t="s">
        <v>268</v>
      </c>
      <c r="D20" s="31" t="s">
        <v>269</v>
      </c>
      <c r="E20" s="31" t="s">
        <v>270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4</v>
      </c>
      <c r="L20" s="42" t="s">
        <v>209</v>
      </c>
      <c r="M20" s="40">
        <v>45993</v>
      </c>
      <c r="N20" s="41" t="s">
        <v>4</v>
      </c>
      <c r="O20" s="42" t="s">
        <v>209</v>
      </c>
      <c r="P20" s="40">
        <v>45995</v>
      </c>
      <c r="Q20" s="41" t="s">
        <v>4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171.6" spans="1:29">
      <c r="A21" s="30" t="s">
        <v>109</v>
      </c>
      <c r="B21" s="30" t="s">
        <v>271</v>
      </c>
      <c r="C21" s="30" t="s">
        <v>272</v>
      </c>
      <c r="D21" s="31" t="s">
        <v>273</v>
      </c>
      <c r="E21" s="31" t="s">
        <v>274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4</v>
      </c>
      <c r="L21" s="42" t="s">
        <v>209</v>
      </c>
      <c r="M21" s="40">
        <v>45993</v>
      </c>
      <c r="N21" s="41" t="s">
        <v>4</v>
      </c>
      <c r="O21" s="42" t="s">
        <v>209</v>
      </c>
      <c r="P21" s="40">
        <v>45995</v>
      </c>
      <c r="Q21" s="41" t="s">
        <v>4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303.6" spans="1:29">
      <c r="A22" s="30" t="s">
        <v>110</v>
      </c>
      <c r="B22" s="30" t="s">
        <v>275</v>
      </c>
      <c r="C22" s="30" t="s">
        <v>276</v>
      </c>
      <c r="D22" s="31" t="s">
        <v>277</v>
      </c>
      <c r="E22" s="31" t="s">
        <v>278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4</v>
      </c>
      <c r="L22" s="42" t="s">
        <v>209</v>
      </c>
      <c r="M22" s="40">
        <v>45993</v>
      </c>
      <c r="N22" s="41" t="s">
        <v>4</v>
      </c>
      <c r="O22" s="42" t="s">
        <v>209</v>
      </c>
      <c r="P22" s="40">
        <v>45995</v>
      </c>
      <c r="Q22" s="41" t="s">
        <v>4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52.8" spans="1:29">
      <c r="A23" s="30" t="s">
        <v>110</v>
      </c>
      <c r="B23" s="30" t="s">
        <v>279</v>
      </c>
      <c r="C23" s="30" t="s">
        <v>280</v>
      </c>
      <c r="D23" s="31" t="s">
        <v>281</v>
      </c>
      <c r="E23" s="31" t="s">
        <v>282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4</v>
      </c>
      <c r="L23" s="42" t="s">
        <v>209</v>
      </c>
      <c r="M23" s="40">
        <v>45993</v>
      </c>
      <c r="N23" s="41" t="s">
        <v>4</v>
      </c>
      <c r="O23" s="42" t="s">
        <v>209</v>
      </c>
      <c r="P23" s="40">
        <v>45995</v>
      </c>
      <c r="Q23" s="41" t="s">
        <v>4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145.2" spans="1:29">
      <c r="A24" s="30" t="s">
        <v>111</v>
      </c>
      <c r="B24" s="30" t="s">
        <v>283</v>
      </c>
      <c r="C24" s="30" t="s">
        <v>284</v>
      </c>
      <c r="D24" s="31" t="s">
        <v>277</v>
      </c>
      <c r="E24" s="31" t="s">
        <v>285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4</v>
      </c>
      <c r="L24" s="42" t="s">
        <v>209</v>
      </c>
      <c r="M24" s="40">
        <v>45993</v>
      </c>
      <c r="N24" s="41" t="s">
        <v>4</v>
      </c>
      <c r="O24" s="42" t="s">
        <v>209</v>
      </c>
      <c r="P24" s="40">
        <v>45995</v>
      </c>
      <c r="Q24" s="41" t="s">
        <v>4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66" spans="1:29">
      <c r="A25" s="30" t="s">
        <v>111</v>
      </c>
      <c r="B25" s="30" t="s">
        <v>286</v>
      </c>
      <c r="C25" s="30" t="s">
        <v>287</v>
      </c>
      <c r="D25" s="31" t="s">
        <v>288</v>
      </c>
      <c r="E25" s="31" t="s">
        <v>289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4</v>
      </c>
      <c r="L25" s="42" t="s">
        <v>209</v>
      </c>
      <c r="M25" s="40">
        <v>45993</v>
      </c>
      <c r="N25" s="41" t="s">
        <v>4</v>
      </c>
      <c r="O25" s="42" t="s">
        <v>209</v>
      </c>
      <c r="P25" s="40">
        <v>45995</v>
      </c>
      <c r="Q25" s="41" t="s">
        <v>4</v>
      </c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66" outlineLevel="1" spans="1:29">
      <c r="A26" s="30" t="s">
        <v>111</v>
      </c>
      <c r="B26" s="30" t="s">
        <v>290</v>
      </c>
      <c r="C26" s="30" t="s">
        <v>291</v>
      </c>
      <c r="D26" s="31" t="s">
        <v>281</v>
      </c>
      <c r="E26" s="31" t="s">
        <v>289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4</v>
      </c>
      <c r="L26" s="42" t="s">
        <v>209</v>
      </c>
      <c r="M26" s="40">
        <v>45993</v>
      </c>
      <c r="N26" s="41" t="s">
        <v>4</v>
      </c>
      <c r="O26" s="42" t="s">
        <v>209</v>
      </c>
      <c r="P26" s="40">
        <v>45995</v>
      </c>
      <c r="Q26" s="41" t="s">
        <v>4</v>
      </c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382.8" outlineLevel="1" spans="1:29">
      <c r="A27" s="30" t="s">
        <v>112</v>
      </c>
      <c r="B27" s="30" t="s">
        <v>292</v>
      </c>
      <c r="C27" s="30" t="s">
        <v>293</v>
      </c>
      <c r="D27" s="31" t="s">
        <v>254</v>
      </c>
      <c r="E27" s="31" t="s">
        <v>294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4</v>
      </c>
      <c r="L27" s="42" t="s">
        <v>209</v>
      </c>
      <c r="M27" s="40">
        <v>45993</v>
      </c>
      <c r="N27" s="41" t="s">
        <v>4</v>
      </c>
      <c r="O27" s="42" t="s">
        <v>209</v>
      </c>
      <c r="P27" s="40">
        <v>45995</v>
      </c>
      <c r="Q27" s="41" t="s">
        <v>4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52.8" outlineLevel="1" spans="1:29">
      <c r="A28" s="30" t="s">
        <v>112</v>
      </c>
      <c r="B28" s="30" t="s">
        <v>295</v>
      </c>
      <c r="C28" s="30" t="s">
        <v>296</v>
      </c>
      <c r="D28" s="31" t="s">
        <v>254</v>
      </c>
      <c r="E28" s="31" t="s">
        <v>282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4</v>
      </c>
      <c r="L28" s="42" t="s">
        <v>209</v>
      </c>
      <c r="M28" s="40">
        <v>45993</v>
      </c>
      <c r="N28" s="41" t="s">
        <v>4</v>
      </c>
      <c r="O28" s="42" t="s">
        <v>209</v>
      </c>
      <c r="P28" s="40">
        <v>45995</v>
      </c>
      <c r="Q28" s="41" t="s">
        <v>4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39.6" outlineLevel="1" spans="1:29">
      <c r="A29" s="30" t="s">
        <v>112</v>
      </c>
      <c r="B29" s="30" t="s">
        <v>297</v>
      </c>
      <c r="C29" s="30" t="s">
        <v>298</v>
      </c>
      <c r="D29" s="31" t="s">
        <v>254</v>
      </c>
      <c r="E29" s="31" t="s">
        <v>255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4</v>
      </c>
      <c r="L29" s="42" t="s">
        <v>209</v>
      </c>
      <c r="M29" s="40">
        <v>45993</v>
      </c>
      <c r="N29" s="41" t="s">
        <v>4</v>
      </c>
      <c r="O29" s="42" t="s">
        <v>209</v>
      </c>
      <c r="P29" s="40">
        <v>45995</v>
      </c>
      <c r="Q29" s="41" t="s">
        <v>4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13.8" outlineLevel="1" spans="1:29">
      <c r="A30" s="30"/>
      <c r="B30" s="30"/>
      <c r="C30" s="30"/>
      <c r="D30" s="31"/>
      <c r="E30" s="31"/>
      <c r="F30" s="30"/>
      <c r="G30" s="32"/>
      <c r="H30" s="33"/>
      <c r="I30" s="33"/>
      <c r="J30" s="40"/>
      <c r="K30" s="41"/>
      <c r="L30" s="42"/>
      <c r="M30" s="40"/>
      <c r="N30" s="41"/>
      <c r="O30" s="42"/>
      <c r="P30" s="40"/>
      <c r="Q30" s="41"/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13.8" outlineLevel="1" spans="1:29">
      <c r="A31" s="30"/>
      <c r="B31" s="30"/>
      <c r="C31" s="30"/>
      <c r="D31" s="31"/>
      <c r="E31" s="31"/>
      <c r="F31" s="30"/>
      <c r="G31" s="32"/>
      <c r="H31" s="33"/>
      <c r="I31" s="33"/>
      <c r="J31" s="40"/>
      <c r="K31" s="41"/>
      <c r="L31" s="42"/>
      <c r="M31" s="40"/>
      <c r="N31" s="41"/>
      <c r="O31" s="42"/>
      <c r="P31" s="40"/>
      <c r="Q31" s="41"/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13.8" outlineLevel="1" spans="1:29">
      <c r="A32" s="30"/>
      <c r="B32" s="30"/>
      <c r="C32" s="30"/>
      <c r="D32" s="31"/>
      <c r="E32" s="31"/>
      <c r="F32" s="30"/>
      <c r="G32" s="32"/>
      <c r="H32" s="33"/>
      <c r="I32" s="33"/>
      <c r="J32" s="40"/>
      <c r="K32" s="41"/>
      <c r="L32" s="42"/>
      <c r="M32" s="40"/>
      <c r="N32" s="41"/>
      <c r="O32" s="42"/>
      <c r="P32" s="40"/>
      <c r="Q32" s="41"/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3.8" outlineLevel="1" spans="1:29">
      <c r="A33" s="30"/>
      <c r="B33" s="30"/>
      <c r="C33" s="30"/>
      <c r="D33" s="31"/>
      <c r="E33" s="31"/>
      <c r="F33" s="30"/>
      <c r="G33" s="32"/>
      <c r="H33" s="33"/>
      <c r="I33" s="33"/>
      <c r="J33" s="40"/>
      <c r="K33" s="41"/>
      <c r="L33" s="42"/>
      <c r="M33" s="40"/>
      <c r="N33" s="41"/>
      <c r="O33" s="42"/>
      <c r="P33" s="40"/>
      <c r="Q33" s="41"/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3.8" outlineLevel="1" spans="1:29">
      <c r="A34" s="30"/>
      <c r="B34" s="30"/>
      <c r="C34" s="30"/>
      <c r="D34" s="31"/>
      <c r="E34" s="31"/>
      <c r="F34" s="30"/>
      <c r="G34" s="32"/>
      <c r="H34" s="33"/>
      <c r="I34" s="33"/>
      <c r="J34" s="40"/>
      <c r="K34" s="41"/>
      <c r="L34" s="42"/>
      <c r="M34" s="40"/>
      <c r="N34" s="41"/>
      <c r="O34" s="42"/>
      <c r="P34" s="40"/>
      <c r="Q34" s="41"/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3.8" outlineLevel="1" spans="1:29">
      <c r="A35" s="30"/>
      <c r="B35" s="30"/>
      <c r="C35" s="30"/>
      <c r="D35" s="31"/>
      <c r="E35" s="31"/>
      <c r="F35" s="30"/>
      <c r="G35" s="32"/>
      <c r="H35" s="33"/>
      <c r="I35" s="33"/>
      <c r="J35" s="40"/>
      <c r="K35" s="41"/>
      <c r="L35" s="42"/>
      <c r="M35" s="40"/>
      <c r="N35" s="41"/>
      <c r="O35" s="42"/>
      <c r="P35" s="40"/>
      <c r="Q35" s="41"/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3.8" outlineLevel="1" spans="1:29">
      <c r="A36" s="30"/>
      <c r="B36" s="30"/>
      <c r="C36" s="30"/>
      <c r="D36" s="31"/>
      <c r="E36" s="31"/>
      <c r="F36" s="30"/>
      <c r="G36" s="32"/>
      <c r="H36" s="33"/>
      <c r="I36" s="33"/>
      <c r="J36" s="40"/>
      <c r="K36" s="41"/>
      <c r="L36" s="42"/>
      <c r="M36" s="40"/>
      <c r="N36" s="41"/>
      <c r="O36" s="42"/>
      <c r="P36" s="40"/>
      <c r="Q36" s="41"/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3.8" outlineLevel="1" spans="1:29">
      <c r="A37" s="30"/>
      <c r="B37" s="30"/>
      <c r="C37" s="30"/>
      <c r="D37" s="31"/>
      <c r="E37" s="31"/>
      <c r="F37" s="30"/>
      <c r="G37" s="32"/>
      <c r="H37" s="33"/>
      <c r="I37" s="33"/>
      <c r="J37" s="40"/>
      <c r="K37" s="41"/>
      <c r="L37" s="42"/>
      <c r="M37" s="40"/>
      <c r="N37" s="41"/>
      <c r="O37" s="42"/>
      <c r="P37" s="40"/>
      <c r="Q37" s="41"/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8" outlineLevel="1" spans="1:29">
      <c r="A38" s="30"/>
      <c r="B38" s="30"/>
      <c r="C38" s="30"/>
      <c r="D38" s="31"/>
      <c r="E38" s="31"/>
      <c r="F38" s="30"/>
      <c r="G38" s="32"/>
      <c r="H38" s="33"/>
      <c r="I38" s="33"/>
      <c r="J38" s="42"/>
      <c r="K38" s="41"/>
      <c r="L38" s="42"/>
      <c r="M38" s="42"/>
      <c r="N38" s="41"/>
      <c r="O38" s="42"/>
      <c r="P38" s="42"/>
      <c r="Q38" s="41"/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8" outlineLevel="1" spans="1:29">
      <c r="A39" s="30"/>
      <c r="B39" s="30"/>
      <c r="C39" s="30"/>
      <c r="D39" s="31"/>
      <c r="E39" s="31"/>
      <c r="F39" s="30"/>
      <c r="G39" s="32"/>
      <c r="H39" s="33"/>
      <c r="I39" s="33"/>
      <c r="J39" s="42"/>
      <c r="K39" s="41"/>
      <c r="L39" s="42"/>
      <c r="M39" s="42"/>
      <c r="N39" s="41"/>
      <c r="O39" s="42"/>
      <c r="P39" s="42"/>
      <c r="Q39" s="41"/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8" outlineLevel="1" spans="1:29">
      <c r="A40" s="30"/>
      <c r="B40" s="30"/>
      <c r="C40" s="30"/>
      <c r="D40" s="31"/>
      <c r="E40" s="31"/>
      <c r="F40" s="30"/>
      <c r="G40" s="32"/>
      <c r="H40" s="33"/>
      <c r="I40" s="33"/>
      <c r="J40" s="42"/>
      <c r="K40" s="41"/>
      <c r="L40" s="42"/>
      <c r="M40" s="42"/>
      <c r="N40" s="41"/>
      <c r="O40" s="42"/>
      <c r="P40" s="42"/>
      <c r="Q40" s="41"/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8" outlineLevel="1" spans="1:29">
      <c r="A41" s="30"/>
      <c r="B41" s="30"/>
      <c r="C41" s="30"/>
      <c r="D41" s="31"/>
      <c r="E41" s="31"/>
      <c r="F41" s="30"/>
      <c r="G41" s="32"/>
      <c r="H41" s="33"/>
      <c r="I41" s="33"/>
      <c r="J41" s="42"/>
      <c r="K41" s="41"/>
      <c r="L41" s="42"/>
      <c r="M41" s="42"/>
      <c r="N41" s="41"/>
      <c r="O41" s="42"/>
      <c r="P41" s="42"/>
      <c r="Q41" s="41"/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8" outlineLevel="1" spans="1:29">
      <c r="A42" s="30"/>
      <c r="B42" s="30"/>
      <c r="C42" s="30"/>
      <c r="D42" s="31"/>
      <c r="E42" s="31"/>
      <c r="F42" s="30"/>
      <c r="G42" s="32"/>
      <c r="H42" s="33"/>
      <c r="I42" s="33"/>
      <c r="J42" s="42"/>
      <c r="K42" s="41"/>
      <c r="L42" s="42"/>
      <c r="M42" s="42"/>
      <c r="N42" s="41"/>
      <c r="O42" s="42"/>
      <c r="P42" s="42"/>
      <c r="Q42" s="41"/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8" outlineLevel="1" spans="1:29">
      <c r="A43" s="30"/>
      <c r="B43" s="30"/>
      <c r="C43" s="30"/>
      <c r="D43" s="31"/>
      <c r="E43" s="31"/>
      <c r="F43" s="30"/>
      <c r="G43" s="32"/>
      <c r="H43" s="33"/>
      <c r="I43" s="33"/>
      <c r="J43" s="42"/>
      <c r="K43" s="41"/>
      <c r="L43" s="42"/>
      <c r="M43" s="42"/>
      <c r="N43" s="41"/>
      <c r="O43" s="42"/>
      <c r="P43" s="42"/>
      <c r="Q43" s="41"/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8" outlineLevel="1" spans="1:29">
      <c r="A44" s="30"/>
      <c r="B44" s="30"/>
      <c r="C44" s="30"/>
      <c r="D44" s="31"/>
      <c r="E44" s="31"/>
      <c r="F44" s="30"/>
      <c r="G44" s="32"/>
      <c r="H44" s="33"/>
      <c r="I44" s="33"/>
      <c r="J44" s="42"/>
      <c r="K44" s="41"/>
      <c r="L44" s="42"/>
      <c r="M44" s="42"/>
      <c r="N44" s="41"/>
      <c r="O44" s="42"/>
      <c r="P44" s="42"/>
      <c r="Q44" s="41"/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8" outlineLevel="1" spans="1:29">
      <c r="A45" s="30"/>
      <c r="B45" s="30"/>
      <c r="C45" s="30"/>
      <c r="D45" s="31"/>
      <c r="E45" s="31"/>
      <c r="F45" s="30"/>
      <c r="G45" s="32"/>
      <c r="H45" s="33"/>
      <c r="I45" s="33"/>
      <c r="J45" s="42"/>
      <c r="K45" s="41"/>
      <c r="L45" s="42"/>
      <c r="M45" s="42"/>
      <c r="N45" s="41"/>
      <c r="O45" s="42"/>
      <c r="P45" s="42"/>
      <c r="Q45" s="41"/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8" outlineLevel="1" spans="1:29">
      <c r="A46" s="30"/>
      <c r="B46" s="30"/>
      <c r="C46" s="30"/>
      <c r="D46" s="31"/>
      <c r="E46" s="31"/>
      <c r="F46" s="30"/>
      <c r="G46" s="32"/>
      <c r="H46" s="33"/>
      <c r="I46" s="33"/>
      <c r="J46" s="42"/>
      <c r="K46" s="41"/>
      <c r="L46" s="42"/>
      <c r="M46" s="42"/>
      <c r="N46" s="41"/>
      <c r="O46" s="42"/>
      <c r="P46" s="42"/>
      <c r="Q46" s="41"/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8" outlineLevel="1" spans="1:29">
      <c r="A47" s="30"/>
      <c r="B47" s="30"/>
      <c r="C47" s="30"/>
      <c r="D47" s="31"/>
      <c r="E47" s="31"/>
      <c r="F47" s="30"/>
      <c r="G47" s="32"/>
      <c r="H47" s="33"/>
      <c r="I47" s="33"/>
      <c r="J47" s="42"/>
      <c r="K47" s="41"/>
      <c r="L47" s="42"/>
      <c r="M47" s="42"/>
      <c r="N47" s="41"/>
      <c r="O47" s="42"/>
      <c r="P47" s="42"/>
      <c r="Q47" s="41"/>
      <c r="R47" s="30"/>
      <c r="S47" s="43"/>
      <c r="T47" s="53"/>
      <c r="U47" s="43"/>
      <c r="V47" s="43"/>
      <c r="W47" s="43"/>
      <c r="X47" s="43"/>
      <c r="Y47" s="43"/>
      <c r="Z47" s="43"/>
      <c r="AA47" s="43"/>
      <c r="AB47" s="43"/>
      <c r="AC47" s="43"/>
    </row>
    <row r="48" ht="13.8" outlineLevel="1" spans="1:29">
      <c r="A48" s="30"/>
      <c r="B48" s="30"/>
      <c r="C48" s="30"/>
      <c r="D48" s="31"/>
      <c r="E48" s="31"/>
      <c r="F48" s="30"/>
      <c r="G48" s="32"/>
      <c r="H48" s="33"/>
      <c r="I48" s="33"/>
      <c r="J48" s="42"/>
      <c r="K48" s="41"/>
      <c r="L48" s="42"/>
      <c r="M48" s="42"/>
      <c r="N48" s="41"/>
      <c r="O48" s="42"/>
      <c r="P48" s="42"/>
      <c r="Q48" s="41"/>
      <c r="R48" s="30"/>
      <c r="S48" s="43"/>
      <c r="T48" s="53"/>
      <c r="U48" s="43"/>
      <c r="V48" s="43"/>
      <c r="W48" s="43"/>
      <c r="X48" s="43"/>
      <c r="Y48" s="43"/>
      <c r="Z48" s="43"/>
      <c r="AA48" s="43"/>
      <c r="AB48" s="43"/>
      <c r="AC48" s="43"/>
    </row>
    <row r="49" ht="13.8" spans="1:29">
      <c r="A49" s="30"/>
      <c r="B49" s="30"/>
      <c r="C49" s="30"/>
      <c r="D49" s="31"/>
      <c r="E49" s="31"/>
      <c r="F49" s="30"/>
      <c r="G49" s="32"/>
      <c r="H49" s="33"/>
      <c r="I49" s="33"/>
      <c r="J49" s="42"/>
      <c r="K49" s="41"/>
      <c r="L49" s="42"/>
      <c r="M49" s="42"/>
      <c r="N49" s="41"/>
      <c r="O49" s="42"/>
      <c r="P49" s="42"/>
      <c r="Q49" s="41"/>
      <c r="R49" s="30"/>
      <c r="S49" s="47"/>
      <c r="T49" s="51"/>
      <c r="U49" s="47"/>
      <c r="V49" s="47"/>
      <c r="W49" s="47"/>
      <c r="X49" s="47"/>
      <c r="Y49" s="47"/>
      <c r="Z49" s="47"/>
      <c r="AA49" s="47"/>
      <c r="AB49" s="47"/>
      <c r="AC49" s="47"/>
    </row>
    <row r="50" ht="13.8" spans="1:29">
      <c r="A50" s="30"/>
      <c r="B50" s="30"/>
      <c r="C50" s="30"/>
      <c r="D50" s="31"/>
      <c r="E50" s="31"/>
      <c r="F50" s="30"/>
      <c r="G50" s="32"/>
      <c r="H50" s="33"/>
      <c r="I50" s="33"/>
      <c r="J50" s="42"/>
      <c r="K50" s="41"/>
      <c r="L50" s="42"/>
      <c r="M50" s="42"/>
      <c r="N50" s="41"/>
      <c r="O50" s="42"/>
      <c r="P50" s="42"/>
      <c r="Q50" s="41"/>
      <c r="R50" s="30"/>
      <c r="S50" s="54"/>
      <c r="T50" s="55"/>
      <c r="U50" s="54"/>
      <c r="V50" s="54"/>
      <c r="W50" s="54"/>
      <c r="X50" s="54"/>
      <c r="Y50" s="54"/>
      <c r="Z50" s="54"/>
      <c r="AA50" s="54"/>
      <c r="AB50" s="54"/>
      <c r="AC50" s="54"/>
    </row>
    <row r="51" ht="13.8" spans="1:29">
      <c r="A51" s="30"/>
      <c r="B51" s="30"/>
      <c r="C51" s="30"/>
      <c r="D51" s="31"/>
      <c r="E51" s="31"/>
      <c r="F51" s="30"/>
      <c r="G51" s="32"/>
      <c r="H51" s="33"/>
      <c r="I51" s="33"/>
      <c r="J51" s="42"/>
      <c r="K51" s="41"/>
      <c r="L51" s="42"/>
      <c r="M51" s="42"/>
      <c r="N51" s="41"/>
      <c r="O51" s="42"/>
      <c r="P51" s="42"/>
      <c r="Q51" s="41"/>
      <c r="R51" s="30"/>
      <c r="S51" s="54"/>
      <c r="T51" s="55"/>
      <c r="U51" s="54"/>
      <c r="V51" s="54"/>
      <c r="W51" s="54"/>
      <c r="X51" s="54"/>
      <c r="Y51" s="54"/>
      <c r="Z51" s="54"/>
      <c r="AA51" s="54"/>
      <c r="AB51" s="54"/>
      <c r="AC51" s="54"/>
    </row>
    <row r="52" ht="13.8" outlineLevel="1" spans="1:29">
      <c r="A52" s="30"/>
      <c r="B52" s="30"/>
      <c r="C52" s="30"/>
      <c r="D52" s="31"/>
      <c r="E52" s="31"/>
      <c r="F52" s="30"/>
      <c r="G52" s="32"/>
      <c r="H52" s="33"/>
      <c r="I52" s="33"/>
      <c r="J52" s="42"/>
      <c r="K52" s="41"/>
      <c r="L52" s="42"/>
      <c r="M52" s="42"/>
      <c r="N52" s="41"/>
      <c r="O52" s="42"/>
      <c r="P52" s="42"/>
      <c r="Q52" s="41"/>
      <c r="R52" s="30"/>
      <c r="S52" s="37"/>
      <c r="T52" s="56"/>
      <c r="U52" s="37"/>
      <c r="V52" s="37"/>
      <c r="W52" s="37"/>
      <c r="X52" s="37"/>
      <c r="Y52" s="37"/>
      <c r="Z52" s="37"/>
      <c r="AA52" s="37"/>
      <c r="AB52" s="37"/>
      <c r="AC52" s="37"/>
    </row>
    <row r="53" ht="13.8" outlineLevel="1" spans="1:29">
      <c r="A53" s="30"/>
      <c r="B53" s="30"/>
      <c r="C53" s="30"/>
      <c r="D53" s="31"/>
      <c r="E53" s="31"/>
      <c r="F53" s="30"/>
      <c r="G53" s="32"/>
      <c r="H53" s="33"/>
      <c r="I53" s="33"/>
      <c r="J53" s="42"/>
      <c r="K53" s="41"/>
      <c r="L53" s="42"/>
      <c r="M53" s="42"/>
      <c r="N53" s="41"/>
      <c r="O53" s="42"/>
      <c r="P53" s="42"/>
      <c r="Q53" s="41"/>
      <c r="R53" s="30"/>
      <c r="S53" s="37"/>
      <c r="T53" s="56"/>
      <c r="U53" s="37"/>
      <c r="V53" s="37"/>
      <c r="W53" s="37"/>
      <c r="X53" s="37"/>
      <c r="Y53" s="37"/>
      <c r="Z53" s="37"/>
      <c r="AA53" s="37"/>
      <c r="AB53" s="37"/>
      <c r="AC53" s="37"/>
    </row>
    <row r="54" ht="64.5" customHeight="1" outlineLevel="1" spans="1:29">
      <c r="A54" s="62"/>
      <c r="B54" s="62"/>
      <c r="C54" s="62"/>
      <c r="D54" s="63"/>
      <c r="E54" s="63"/>
      <c r="F54" s="62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62"/>
      <c r="S54" s="37"/>
      <c r="T54" s="57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62"/>
      <c r="B55" s="62"/>
      <c r="C55" s="62"/>
      <c r="D55" s="63"/>
      <c r="E55" s="63"/>
      <c r="F55" s="62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67"/>
      <c r="S55" s="54"/>
      <c r="T55" s="55"/>
      <c r="U55" s="54"/>
      <c r="V55" s="54"/>
      <c r="W55" s="54"/>
      <c r="X55" s="54"/>
      <c r="Y55" s="54"/>
      <c r="Z55" s="54"/>
      <c r="AA55" s="54"/>
      <c r="AB55" s="54"/>
      <c r="AC55" s="54"/>
    </row>
    <row r="56" ht="64.5" customHeight="1" outlineLevel="1" spans="1:29">
      <c r="A56" s="62"/>
      <c r="B56" s="62"/>
      <c r="C56" s="62"/>
      <c r="D56" s="63"/>
      <c r="E56" s="63"/>
      <c r="F56" s="62"/>
      <c r="G56" s="1"/>
      <c r="H56" s="64"/>
      <c r="I56" s="64"/>
      <c r="J56" s="1"/>
      <c r="K56" s="1"/>
      <c r="L56" s="1"/>
      <c r="M56" s="1"/>
      <c r="N56" s="1"/>
      <c r="O56" s="1"/>
      <c r="P56" s="1"/>
      <c r="Q56" s="1"/>
      <c r="R56" s="67"/>
      <c r="S56" s="37"/>
      <c r="T56" s="56"/>
      <c r="U56" s="37"/>
      <c r="V56" s="37"/>
      <c r="W56" s="37"/>
      <c r="X56" s="37"/>
      <c r="Y56" s="37"/>
      <c r="Z56" s="37"/>
      <c r="AA56" s="37"/>
      <c r="AB56" s="37"/>
      <c r="AC56" s="37"/>
    </row>
    <row r="57" ht="64.5" customHeight="1" spans="1:29">
      <c r="A57" s="62"/>
      <c r="B57" s="62"/>
      <c r="C57" s="62"/>
      <c r="D57" s="65"/>
      <c r="E57" s="65"/>
      <c r="F57" s="66"/>
      <c r="G57" s="1"/>
      <c r="H57" s="64"/>
      <c r="I57" s="64"/>
      <c r="J57" s="1"/>
      <c r="K57" s="1"/>
      <c r="L57" s="1"/>
      <c r="M57" s="1"/>
      <c r="N57" s="1"/>
      <c r="O57" s="1"/>
      <c r="P57" s="1"/>
      <c r="Q57" s="1"/>
      <c r="R57" s="66"/>
      <c r="S57" s="37"/>
      <c r="T57" s="57"/>
      <c r="U57" s="37"/>
      <c r="V57" s="37"/>
      <c r="W57" s="37"/>
      <c r="X57" s="37"/>
      <c r="Y57" s="37"/>
      <c r="Z57" s="37"/>
      <c r="AA57" s="37"/>
      <c r="AB57" s="37"/>
      <c r="AC57" s="37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37"/>
      <c r="C228" s="38"/>
      <c r="D228" s="39"/>
      <c r="E228" s="39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37"/>
      <c r="C229" s="38"/>
      <c r="D229" s="39"/>
      <c r="E229" s="39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2.75" customHeight="1" spans="1:29">
      <c r="A252" s="37"/>
      <c r="B252" s="43"/>
      <c r="C252" s="58"/>
      <c r="D252" s="59"/>
      <c r="E252" s="59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2.75" customHeight="1" spans="1:29">
      <c r="A253" s="37"/>
      <c r="B253" s="43"/>
      <c r="C253" s="58"/>
      <c r="D253" s="59"/>
      <c r="E253" s="59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7:H57 G11:G56 H2:H3 L11:L57 M2:M3 O11:O5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26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153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COUNTA(B11:B960)-COUNTIF($N11:$N960,"Skip")</f>
        <v>43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COUNTIF($G11:$G960,C5)</f>
        <v>43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COUNTIF($L11:$L960,C5)</f>
        <v>43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COUNTIF($O11:$O960,C5)</f>
        <v>43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13.2" spans="1:29">
      <c r="A11" s="68" t="s">
        <v>299</v>
      </c>
      <c r="B11" s="68" t="s">
        <v>300</v>
      </c>
      <c r="C11" s="68" t="s">
        <v>301</v>
      </c>
      <c r="D11" s="72" t="s">
        <v>302</v>
      </c>
      <c r="E11" s="72" t="s">
        <v>303</v>
      </c>
      <c r="F11" s="78" t="s">
        <v>304</v>
      </c>
      <c r="G11" s="70" t="s">
        <v>209</v>
      </c>
      <c r="H11" s="71"/>
      <c r="I11" s="71"/>
      <c r="J11" s="73">
        <v>46036</v>
      </c>
      <c r="K11" s="74" t="s">
        <v>305</v>
      </c>
      <c r="L11" s="75" t="s">
        <v>209</v>
      </c>
      <c r="M11" s="73">
        <v>46036</v>
      </c>
      <c r="N11" s="74" t="s">
        <v>305</v>
      </c>
      <c r="O11" s="75" t="s">
        <v>209</v>
      </c>
      <c r="P11" s="73">
        <v>46036</v>
      </c>
      <c r="Q11" s="74" t="s">
        <v>306</v>
      </c>
      <c r="R11" s="73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13.2" spans="1:29">
      <c r="A12" s="68" t="s">
        <v>299</v>
      </c>
      <c r="B12" s="68" t="s">
        <v>307</v>
      </c>
      <c r="C12" s="68" t="s">
        <v>308</v>
      </c>
      <c r="D12" s="72" t="s">
        <v>302</v>
      </c>
      <c r="E12" s="72" t="s">
        <v>309</v>
      </c>
      <c r="F12" s="78" t="s">
        <v>310</v>
      </c>
      <c r="G12" s="70" t="s">
        <v>209</v>
      </c>
      <c r="H12" s="71"/>
      <c r="I12" s="71"/>
      <c r="J12" s="73">
        <v>46036</v>
      </c>
      <c r="K12" s="74" t="s">
        <v>305</v>
      </c>
      <c r="L12" s="75" t="s">
        <v>209</v>
      </c>
      <c r="M12" s="73">
        <v>46036</v>
      </c>
      <c r="N12" s="74" t="s">
        <v>305</v>
      </c>
      <c r="O12" s="75" t="s">
        <v>209</v>
      </c>
      <c r="P12" s="73">
        <v>46036</v>
      </c>
      <c r="Q12" s="74" t="s">
        <v>306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13.2" spans="1:29">
      <c r="A13" s="68" t="s">
        <v>299</v>
      </c>
      <c r="B13" s="68" t="s">
        <v>311</v>
      </c>
      <c r="C13" s="68" t="s">
        <v>312</v>
      </c>
      <c r="D13" s="72" t="s">
        <v>313</v>
      </c>
      <c r="E13" s="72" t="s">
        <v>314</v>
      </c>
      <c r="F13" s="78" t="s">
        <v>304</v>
      </c>
      <c r="G13" s="70" t="s">
        <v>209</v>
      </c>
      <c r="H13" s="71"/>
      <c r="I13" s="71"/>
      <c r="J13" s="73">
        <v>46036</v>
      </c>
      <c r="K13" s="74" t="s">
        <v>305</v>
      </c>
      <c r="L13" s="75" t="s">
        <v>209</v>
      </c>
      <c r="M13" s="73">
        <v>46036</v>
      </c>
      <c r="N13" s="74" t="s">
        <v>305</v>
      </c>
      <c r="O13" s="75" t="s">
        <v>209</v>
      </c>
      <c r="P13" s="73">
        <v>46036</v>
      </c>
      <c r="Q13" s="74" t="s">
        <v>306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13.2" spans="1:29">
      <c r="A14" s="68" t="s">
        <v>299</v>
      </c>
      <c r="B14" s="68" t="s">
        <v>315</v>
      </c>
      <c r="C14" s="68" t="s">
        <v>316</v>
      </c>
      <c r="D14" s="72" t="s">
        <v>317</v>
      </c>
      <c r="E14" s="72" t="s">
        <v>318</v>
      </c>
      <c r="F14" s="78" t="s">
        <v>304</v>
      </c>
      <c r="G14" s="70" t="s">
        <v>209</v>
      </c>
      <c r="H14" s="71"/>
      <c r="I14" s="71"/>
      <c r="J14" s="73">
        <v>46036</v>
      </c>
      <c r="K14" s="74" t="s">
        <v>305</v>
      </c>
      <c r="L14" s="75" t="s">
        <v>209</v>
      </c>
      <c r="M14" s="73">
        <v>46036</v>
      </c>
      <c r="N14" s="74" t="s">
        <v>305</v>
      </c>
      <c r="O14" s="75" t="s">
        <v>209</v>
      </c>
      <c r="P14" s="73">
        <v>46036</v>
      </c>
      <c r="Q14" s="74" t="s">
        <v>306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13.2" spans="1:29">
      <c r="A15" s="68" t="s">
        <v>299</v>
      </c>
      <c r="B15" s="68" t="s">
        <v>319</v>
      </c>
      <c r="C15" s="68" t="s">
        <v>320</v>
      </c>
      <c r="D15" s="72" t="s">
        <v>321</v>
      </c>
      <c r="E15" s="72" t="s">
        <v>322</v>
      </c>
      <c r="F15" s="78" t="s">
        <v>304</v>
      </c>
      <c r="G15" s="70" t="s">
        <v>209</v>
      </c>
      <c r="H15" s="71"/>
      <c r="I15" s="71"/>
      <c r="J15" s="73">
        <v>46036</v>
      </c>
      <c r="K15" s="74" t="s">
        <v>305</v>
      </c>
      <c r="L15" s="75" t="s">
        <v>209</v>
      </c>
      <c r="M15" s="73">
        <v>46036</v>
      </c>
      <c r="N15" s="74" t="s">
        <v>305</v>
      </c>
      <c r="O15" s="75" t="s">
        <v>209</v>
      </c>
      <c r="P15" s="73">
        <v>46036</v>
      </c>
      <c r="Q15" s="74" t="s">
        <v>306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13.2" spans="1:29">
      <c r="A16" s="68" t="s">
        <v>323</v>
      </c>
      <c r="B16" s="68" t="s">
        <v>324</v>
      </c>
      <c r="C16" s="68" t="s">
        <v>325</v>
      </c>
      <c r="D16" s="72" t="s">
        <v>326</v>
      </c>
      <c r="E16" s="72" t="s">
        <v>327</v>
      </c>
      <c r="F16" s="72" t="s">
        <v>304</v>
      </c>
      <c r="G16" s="70" t="s">
        <v>209</v>
      </c>
      <c r="H16" s="71"/>
      <c r="I16" s="71"/>
      <c r="J16" s="73">
        <v>46036</v>
      </c>
      <c r="K16" s="74" t="s">
        <v>305</v>
      </c>
      <c r="L16" s="75" t="s">
        <v>209</v>
      </c>
      <c r="M16" s="73">
        <v>46036</v>
      </c>
      <c r="N16" s="74" t="s">
        <v>305</v>
      </c>
      <c r="O16" s="75" t="s">
        <v>209</v>
      </c>
      <c r="P16" s="73">
        <v>46036</v>
      </c>
      <c r="Q16" s="74" t="s">
        <v>306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13.2" spans="1:29">
      <c r="A17" s="68" t="s">
        <v>323</v>
      </c>
      <c r="B17" s="68" t="s">
        <v>328</v>
      </c>
      <c r="C17" s="68" t="s">
        <v>329</v>
      </c>
      <c r="D17" s="72" t="s">
        <v>330</v>
      </c>
      <c r="E17" s="72" t="s">
        <v>331</v>
      </c>
      <c r="F17" s="72" t="s">
        <v>304</v>
      </c>
      <c r="G17" s="70" t="s">
        <v>209</v>
      </c>
      <c r="H17" s="71"/>
      <c r="I17" s="71"/>
      <c r="J17" s="73">
        <v>46036</v>
      </c>
      <c r="K17" s="74" t="s">
        <v>305</v>
      </c>
      <c r="L17" s="75" t="s">
        <v>209</v>
      </c>
      <c r="M17" s="73">
        <v>46036</v>
      </c>
      <c r="N17" s="74" t="s">
        <v>305</v>
      </c>
      <c r="O17" s="75" t="s">
        <v>209</v>
      </c>
      <c r="P17" s="73">
        <v>46036</v>
      </c>
      <c r="Q17" s="74" t="s">
        <v>306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13.2" spans="1:29">
      <c r="A18" s="68" t="s">
        <v>323</v>
      </c>
      <c r="B18" s="68" t="s">
        <v>332</v>
      </c>
      <c r="C18" s="68" t="s">
        <v>333</v>
      </c>
      <c r="D18" s="72" t="s">
        <v>326</v>
      </c>
      <c r="E18" s="72" t="s">
        <v>309</v>
      </c>
      <c r="F18" s="72" t="s">
        <v>310</v>
      </c>
      <c r="G18" s="70" t="s">
        <v>209</v>
      </c>
      <c r="H18" s="71"/>
      <c r="I18" s="71"/>
      <c r="J18" s="73">
        <v>46036</v>
      </c>
      <c r="K18" s="74" t="s">
        <v>305</v>
      </c>
      <c r="L18" s="75" t="s">
        <v>209</v>
      </c>
      <c r="M18" s="73">
        <v>46036</v>
      </c>
      <c r="N18" s="74" t="s">
        <v>305</v>
      </c>
      <c r="O18" s="75" t="s">
        <v>209</v>
      </c>
      <c r="P18" s="73">
        <v>46036</v>
      </c>
      <c r="Q18" s="74" t="s">
        <v>306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13.2" spans="1:29">
      <c r="A19" s="68" t="s">
        <v>334</v>
      </c>
      <c r="B19" s="68" t="s">
        <v>335</v>
      </c>
      <c r="C19" s="68" t="s">
        <v>336</v>
      </c>
      <c r="D19" s="72" t="s">
        <v>337</v>
      </c>
      <c r="E19" s="72" t="s">
        <v>338</v>
      </c>
      <c r="F19" s="72" t="s">
        <v>304</v>
      </c>
      <c r="G19" s="70" t="s">
        <v>209</v>
      </c>
      <c r="H19" s="71"/>
      <c r="I19" s="71"/>
      <c r="J19" s="73">
        <v>46036</v>
      </c>
      <c r="K19" s="74" t="s">
        <v>305</v>
      </c>
      <c r="L19" s="75" t="s">
        <v>209</v>
      </c>
      <c r="M19" s="73">
        <v>46036</v>
      </c>
      <c r="N19" s="74" t="s">
        <v>305</v>
      </c>
      <c r="O19" s="75" t="s">
        <v>209</v>
      </c>
      <c r="P19" s="73">
        <v>46036</v>
      </c>
      <c r="Q19" s="74" t="s">
        <v>306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13.2" spans="1:29">
      <c r="A20" s="68" t="s">
        <v>334</v>
      </c>
      <c r="B20" s="68" t="s">
        <v>339</v>
      </c>
      <c r="C20" s="68" t="s">
        <v>340</v>
      </c>
      <c r="D20" s="72" t="s">
        <v>341</v>
      </c>
      <c r="E20" s="72" t="s">
        <v>342</v>
      </c>
      <c r="F20" s="72" t="s">
        <v>304</v>
      </c>
      <c r="G20" s="70" t="s">
        <v>209</v>
      </c>
      <c r="H20" s="71"/>
      <c r="I20" s="71"/>
      <c r="J20" s="73">
        <v>46036</v>
      </c>
      <c r="K20" s="74" t="s">
        <v>305</v>
      </c>
      <c r="L20" s="75" t="s">
        <v>209</v>
      </c>
      <c r="M20" s="73">
        <v>46036</v>
      </c>
      <c r="N20" s="74" t="s">
        <v>305</v>
      </c>
      <c r="O20" s="75" t="s">
        <v>209</v>
      </c>
      <c r="P20" s="73">
        <v>46036</v>
      </c>
      <c r="Q20" s="74" t="s">
        <v>306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13.2" spans="1:29">
      <c r="A21" s="68" t="s">
        <v>334</v>
      </c>
      <c r="B21" s="68" t="s">
        <v>343</v>
      </c>
      <c r="C21" s="68" t="s">
        <v>344</v>
      </c>
      <c r="D21" s="72" t="s">
        <v>337</v>
      </c>
      <c r="E21" s="72" t="s">
        <v>309</v>
      </c>
      <c r="F21" s="72" t="s">
        <v>310</v>
      </c>
      <c r="G21" s="70" t="s">
        <v>209</v>
      </c>
      <c r="H21" s="71"/>
      <c r="I21" s="71"/>
      <c r="J21" s="73">
        <v>46036</v>
      </c>
      <c r="K21" s="74" t="s">
        <v>305</v>
      </c>
      <c r="L21" s="75" t="s">
        <v>209</v>
      </c>
      <c r="M21" s="73">
        <v>46036</v>
      </c>
      <c r="N21" s="74" t="s">
        <v>305</v>
      </c>
      <c r="O21" s="75" t="s">
        <v>209</v>
      </c>
      <c r="P21" s="73">
        <v>46036</v>
      </c>
      <c r="Q21" s="74" t="s">
        <v>306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13.2" spans="1:29">
      <c r="A22" s="68" t="s">
        <v>345</v>
      </c>
      <c r="B22" s="68" t="s">
        <v>346</v>
      </c>
      <c r="C22" s="68" t="s">
        <v>347</v>
      </c>
      <c r="D22" s="72" t="s">
        <v>348</v>
      </c>
      <c r="E22" s="72" t="s">
        <v>338</v>
      </c>
      <c r="F22" s="72" t="s">
        <v>304</v>
      </c>
      <c r="G22" s="70" t="s">
        <v>209</v>
      </c>
      <c r="H22" s="71"/>
      <c r="I22" s="71"/>
      <c r="J22" s="73">
        <v>46036</v>
      </c>
      <c r="K22" s="74" t="s">
        <v>305</v>
      </c>
      <c r="L22" s="75" t="s">
        <v>209</v>
      </c>
      <c r="M22" s="73">
        <v>46036</v>
      </c>
      <c r="N22" s="74" t="s">
        <v>305</v>
      </c>
      <c r="O22" s="75" t="s">
        <v>209</v>
      </c>
      <c r="P22" s="73">
        <v>46036</v>
      </c>
      <c r="Q22" s="74" t="s">
        <v>306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13.2" spans="1:29">
      <c r="A23" s="68" t="s">
        <v>345</v>
      </c>
      <c r="B23" s="68" t="s">
        <v>349</v>
      </c>
      <c r="C23" s="68" t="s">
        <v>350</v>
      </c>
      <c r="D23" s="72" t="s">
        <v>351</v>
      </c>
      <c r="E23" s="72" t="s">
        <v>342</v>
      </c>
      <c r="F23" s="72" t="s">
        <v>352</v>
      </c>
      <c r="G23" s="70" t="s">
        <v>209</v>
      </c>
      <c r="H23" s="71"/>
      <c r="I23" s="71"/>
      <c r="J23" s="73">
        <v>46036</v>
      </c>
      <c r="K23" s="74" t="s">
        <v>305</v>
      </c>
      <c r="L23" s="75" t="s">
        <v>209</v>
      </c>
      <c r="M23" s="73">
        <v>46036</v>
      </c>
      <c r="N23" s="74" t="s">
        <v>305</v>
      </c>
      <c r="O23" s="75" t="s">
        <v>209</v>
      </c>
      <c r="P23" s="73">
        <v>46036</v>
      </c>
      <c r="Q23" s="74" t="s">
        <v>306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13.2" spans="1:29">
      <c r="A24" s="68" t="s">
        <v>345</v>
      </c>
      <c r="B24" s="68" t="s">
        <v>353</v>
      </c>
      <c r="C24" s="68" t="s">
        <v>354</v>
      </c>
      <c r="D24" s="72" t="s">
        <v>254</v>
      </c>
      <c r="E24" s="72" t="s">
        <v>309</v>
      </c>
      <c r="F24" s="72" t="s">
        <v>310</v>
      </c>
      <c r="G24" s="70" t="s">
        <v>209</v>
      </c>
      <c r="H24" s="71"/>
      <c r="I24" s="71"/>
      <c r="J24" s="73">
        <v>46036</v>
      </c>
      <c r="K24" s="74" t="s">
        <v>305</v>
      </c>
      <c r="L24" s="75" t="s">
        <v>209</v>
      </c>
      <c r="M24" s="73">
        <v>46036</v>
      </c>
      <c r="N24" s="74" t="s">
        <v>305</v>
      </c>
      <c r="O24" s="75" t="s">
        <v>209</v>
      </c>
      <c r="P24" s="73">
        <v>46036</v>
      </c>
      <c r="Q24" s="74" t="s">
        <v>306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13.2" spans="1:29">
      <c r="A25" s="68" t="s">
        <v>355</v>
      </c>
      <c r="B25" s="68" t="s">
        <v>356</v>
      </c>
      <c r="C25" s="68" t="s">
        <v>357</v>
      </c>
      <c r="D25" s="72" t="s">
        <v>358</v>
      </c>
      <c r="E25" s="72" t="s">
        <v>359</v>
      </c>
      <c r="F25" s="72" t="s">
        <v>360</v>
      </c>
      <c r="G25" s="70" t="s">
        <v>209</v>
      </c>
      <c r="H25" s="71"/>
      <c r="I25" s="71"/>
      <c r="J25" s="73">
        <v>46036</v>
      </c>
      <c r="K25" s="74" t="s">
        <v>305</v>
      </c>
      <c r="L25" s="75" t="s">
        <v>209</v>
      </c>
      <c r="M25" s="73">
        <v>46036</v>
      </c>
      <c r="N25" s="74" t="s">
        <v>305</v>
      </c>
      <c r="O25" s="75" t="s">
        <v>209</v>
      </c>
      <c r="P25" s="73">
        <v>46036</v>
      </c>
      <c r="Q25" s="74" t="s">
        <v>306</v>
      </c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13.2" outlineLevel="1" spans="1:29">
      <c r="A26" s="68" t="s">
        <v>355</v>
      </c>
      <c r="B26" s="68" t="s">
        <v>361</v>
      </c>
      <c r="C26" s="68" t="s">
        <v>362</v>
      </c>
      <c r="D26" s="72" t="s">
        <v>363</v>
      </c>
      <c r="E26" s="72" t="s">
        <v>364</v>
      </c>
      <c r="F26" s="72" t="s">
        <v>360</v>
      </c>
      <c r="G26" s="70" t="s">
        <v>209</v>
      </c>
      <c r="H26" s="71"/>
      <c r="I26" s="71"/>
      <c r="J26" s="73">
        <v>46036</v>
      </c>
      <c r="K26" s="74" t="s">
        <v>305</v>
      </c>
      <c r="L26" s="75" t="s">
        <v>209</v>
      </c>
      <c r="M26" s="73">
        <v>46036</v>
      </c>
      <c r="N26" s="74" t="s">
        <v>305</v>
      </c>
      <c r="O26" s="75" t="s">
        <v>209</v>
      </c>
      <c r="P26" s="73">
        <v>46036</v>
      </c>
      <c r="Q26" s="74" t="s">
        <v>306</v>
      </c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13.2" outlineLevel="1" spans="1:29">
      <c r="A27" s="68" t="s">
        <v>355</v>
      </c>
      <c r="B27" s="68" t="s">
        <v>365</v>
      </c>
      <c r="C27" s="68" t="s">
        <v>366</v>
      </c>
      <c r="D27" s="72" t="s">
        <v>367</v>
      </c>
      <c r="E27" s="72" t="s">
        <v>331</v>
      </c>
      <c r="F27" s="72" t="s">
        <v>304</v>
      </c>
      <c r="G27" s="70" t="s">
        <v>209</v>
      </c>
      <c r="H27" s="71"/>
      <c r="I27" s="71"/>
      <c r="J27" s="73">
        <v>46036</v>
      </c>
      <c r="K27" s="74" t="s">
        <v>305</v>
      </c>
      <c r="L27" s="75" t="s">
        <v>209</v>
      </c>
      <c r="M27" s="73">
        <v>46036</v>
      </c>
      <c r="N27" s="74" t="s">
        <v>305</v>
      </c>
      <c r="O27" s="75" t="s">
        <v>209</v>
      </c>
      <c r="P27" s="73">
        <v>46036</v>
      </c>
      <c r="Q27" s="74" t="s">
        <v>306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13.2" outlineLevel="1" spans="1:29">
      <c r="A28" s="68" t="s">
        <v>355</v>
      </c>
      <c r="B28" s="68" t="s">
        <v>368</v>
      </c>
      <c r="C28" s="68" t="s">
        <v>369</v>
      </c>
      <c r="D28" s="72" t="s">
        <v>358</v>
      </c>
      <c r="E28" s="72" t="s">
        <v>309</v>
      </c>
      <c r="F28" s="72" t="s">
        <v>310</v>
      </c>
      <c r="G28" s="70" t="s">
        <v>209</v>
      </c>
      <c r="H28" s="71"/>
      <c r="I28" s="71"/>
      <c r="J28" s="73">
        <v>46036</v>
      </c>
      <c r="K28" s="74" t="s">
        <v>305</v>
      </c>
      <c r="L28" s="75" t="s">
        <v>209</v>
      </c>
      <c r="M28" s="73">
        <v>46036</v>
      </c>
      <c r="N28" s="74" t="s">
        <v>305</v>
      </c>
      <c r="O28" s="75" t="s">
        <v>209</v>
      </c>
      <c r="P28" s="73">
        <v>46036</v>
      </c>
      <c r="Q28" s="74" t="s">
        <v>306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13.2" outlineLevel="1" spans="1:29">
      <c r="A29" s="68" t="s">
        <v>355</v>
      </c>
      <c r="B29" s="68" t="s">
        <v>370</v>
      </c>
      <c r="C29" s="68" t="s">
        <v>371</v>
      </c>
      <c r="D29" s="72" t="s">
        <v>372</v>
      </c>
      <c r="E29" s="72" t="s">
        <v>373</v>
      </c>
      <c r="F29" s="72" t="s">
        <v>360</v>
      </c>
      <c r="G29" s="70" t="s">
        <v>209</v>
      </c>
      <c r="H29" s="71"/>
      <c r="I29" s="71"/>
      <c r="J29" s="73">
        <v>46036</v>
      </c>
      <c r="K29" s="74" t="s">
        <v>305</v>
      </c>
      <c r="L29" s="75" t="s">
        <v>209</v>
      </c>
      <c r="M29" s="73">
        <v>46036</v>
      </c>
      <c r="N29" s="74" t="s">
        <v>305</v>
      </c>
      <c r="O29" s="75" t="s">
        <v>209</v>
      </c>
      <c r="P29" s="73">
        <v>46036</v>
      </c>
      <c r="Q29" s="74" t="s">
        <v>306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13.2" outlineLevel="1" spans="1:29">
      <c r="A30" s="68" t="s">
        <v>374</v>
      </c>
      <c r="B30" s="68" t="s">
        <v>375</v>
      </c>
      <c r="C30" s="68" t="s">
        <v>376</v>
      </c>
      <c r="D30" s="72" t="s">
        <v>377</v>
      </c>
      <c r="E30" s="72" t="s">
        <v>378</v>
      </c>
      <c r="F30" s="72" t="s">
        <v>379</v>
      </c>
      <c r="G30" s="70" t="s">
        <v>209</v>
      </c>
      <c r="H30" s="71"/>
      <c r="I30" s="71"/>
      <c r="J30" s="73">
        <v>46036</v>
      </c>
      <c r="K30" s="74" t="s">
        <v>305</v>
      </c>
      <c r="L30" s="75" t="s">
        <v>209</v>
      </c>
      <c r="M30" s="73">
        <v>46036</v>
      </c>
      <c r="N30" s="74" t="s">
        <v>305</v>
      </c>
      <c r="O30" s="75" t="s">
        <v>209</v>
      </c>
      <c r="P30" s="73">
        <v>46036</v>
      </c>
      <c r="Q30" s="74" t="s">
        <v>306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13.2" outlineLevel="1" spans="1:29">
      <c r="A31" s="68" t="s">
        <v>374</v>
      </c>
      <c r="B31" s="68" t="s">
        <v>380</v>
      </c>
      <c r="C31" s="68" t="s">
        <v>381</v>
      </c>
      <c r="D31" s="72" t="s">
        <v>382</v>
      </c>
      <c r="E31" s="72" t="s">
        <v>383</v>
      </c>
      <c r="F31" s="72" t="s">
        <v>384</v>
      </c>
      <c r="G31" s="70" t="s">
        <v>209</v>
      </c>
      <c r="H31" s="71"/>
      <c r="I31" s="71"/>
      <c r="J31" s="73">
        <v>46036</v>
      </c>
      <c r="K31" s="74" t="s">
        <v>305</v>
      </c>
      <c r="L31" s="75" t="s">
        <v>209</v>
      </c>
      <c r="M31" s="73">
        <v>46036</v>
      </c>
      <c r="N31" s="74" t="s">
        <v>305</v>
      </c>
      <c r="O31" s="75" t="s">
        <v>209</v>
      </c>
      <c r="P31" s="73">
        <v>46036</v>
      </c>
      <c r="Q31" s="74" t="s">
        <v>306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13.2" outlineLevel="1" spans="1:29">
      <c r="A32" s="68" t="s">
        <v>374</v>
      </c>
      <c r="B32" s="68" t="s">
        <v>385</v>
      </c>
      <c r="C32" s="68" t="s">
        <v>386</v>
      </c>
      <c r="D32" s="72" t="s">
        <v>387</v>
      </c>
      <c r="E32" s="72" t="s">
        <v>388</v>
      </c>
      <c r="F32" s="72" t="s">
        <v>379</v>
      </c>
      <c r="G32" s="70" t="s">
        <v>209</v>
      </c>
      <c r="H32" s="71"/>
      <c r="I32" s="71"/>
      <c r="J32" s="73">
        <v>46036</v>
      </c>
      <c r="K32" s="74" t="s">
        <v>305</v>
      </c>
      <c r="L32" s="75" t="s">
        <v>209</v>
      </c>
      <c r="M32" s="73">
        <v>46036</v>
      </c>
      <c r="N32" s="74" t="s">
        <v>305</v>
      </c>
      <c r="O32" s="75" t="s">
        <v>209</v>
      </c>
      <c r="P32" s="73">
        <v>46036</v>
      </c>
      <c r="Q32" s="74" t="s">
        <v>306</v>
      </c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3.2" outlineLevel="1" spans="1:29">
      <c r="A33" s="68" t="s">
        <v>374</v>
      </c>
      <c r="B33" s="68" t="s">
        <v>389</v>
      </c>
      <c r="C33" s="68" t="s">
        <v>390</v>
      </c>
      <c r="D33" s="72" t="s">
        <v>377</v>
      </c>
      <c r="E33" s="72" t="s">
        <v>309</v>
      </c>
      <c r="F33" s="72" t="s">
        <v>310</v>
      </c>
      <c r="G33" s="70" t="s">
        <v>209</v>
      </c>
      <c r="H33" s="71"/>
      <c r="I33" s="71"/>
      <c r="J33" s="73">
        <v>46036</v>
      </c>
      <c r="K33" s="74" t="s">
        <v>305</v>
      </c>
      <c r="L33" s="75" t="s">
        <v>209</v>
      </c>
      <c r="M33" s="73">
        <v>46036</v>
      </c>
      <c r="N33" s="74" t="s">
        <v>305</v>
      </c>
      <c r="O33" s="75" t="s">
        <v>209</v>
      </c>
      <c r="P33" s="73">
        <v>46036</v>
      </c>
      <c r="Q33" s="74" t="s">
        <v>306</v>
      </c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3.2" outlineLevel="1" spans="1:29">
      <c r="A34" s="68" t="s">
        <v>391</v>
      </c>
      <c r="B34" s="68" t="s">
        <v>392</v>
      </c>
      <c r="C34" s="68" t="s">
        <v>393</v>
      </c>
      <c r="D34" s="72" t="s">
        <v>394</v>
      </c>
      <c r="E34" s="72" t="s">
        <v>395</v>
      </c>
      <c r="F34" s="72" t="s">
        <v>304</v>
      </c>
      <c r="G34" s="70" t="s">
        <v>209</v>
      </c>
      <c r="H34" s="71"/>
      <c r="I34" s="71"/>
      <c r="J34" s="73">
        <v>46036</v>
      </c>
      <c r="K34" s="74" t="s">
        <v>305</v>
      </c>
      <c r="L34" s="75" t="s">
        <v>209</v>
      </c>
      <c r="M34" s="73">
        <v>46036</v>
      </c>
      <c r="N34" s="74" t="s">
        <v>305</v>
      </c>
      <c r="O34" s="75" t="s">
        <v>209</v>
      </c>
      <c r="P34" s="73">
        <v>46036</v>
      </c>
      <c r="Q34" s="74" t="s">
        <v>306</v>
      </c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3.2" outlineLevel="1" spans="1:29">
      <c r="A35" s="68" t="s">
        <v>391</v>
      </c>
      <c r="B35" s="68" t="s">
        <v>396</v>
      </c>
      <c r="C35" s="68" t="s">
        <v>397</v>
      </c>
      <c r="D35" s="72" t="s">
        <v>398</v>
      </c>
      <c r="E35" s="72" t="s">
        <v>331</v>
      </c>
      <c r="F35" s="72" t="s">
        <v>304</v>
      </c>
      <c r="G35" s="70" t="s">
        <v>209</v>
      </c>
      <c r="H35" s="71"/>
      <c r="I35" s="71"/>
      <c r="J35" s="73">
        <v>46036</v>
      </c>
      <c r="K35" s="74" t="s">
        <v>305</v>
      </c>
      <c r="L35" s="75" t="s">
        <v>209</v>
      </c>
      <c r="M35" s="73">
        <v>46036</v>
      </c>
      <c r="N35" s="74" t="s">
        <v>305</v>
      </c>
      <c r="O35" s="75" t="s">
        <v>209</v>
      </c>
      <c r="P35" s="73">
        <v>46036</v>
      </c>
      <c r="Q35" s="74" t="s">
        <v>306</v>
      </c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3.2" outlineLevel="1" spans="1:29">
      <c r="A36" s="68" t="s">
        <v>391</v>
      </c>
      <c r="B36" s="68" t="s">
        <v>399</v>
      </c>
      <c r="C36" s="68" t="s">
        <v>400</v>
      </c>
      <c r="D36" s="72" t="s">
        <v>326</v>
      </c>
      <c r="E36" s="72" t="s">
        <v>401</v>
      </c>
      <c r="F36" s="72" t="s">
        <v>304</v>
      </c>
      <c r="G36" s="70" t="s">
        <v>209</v>
      </c>
      <c r="H36" s="71"/>
      <c r="I36" s="71"/>
      <c r="J36" s="73">
        <v>46036</v>
      </c>
      <c r="K36" s="74" t="s">
        <v>305</v>
      </c>
      <c r="L36" s="75" t="s">
        <v>209</v>
      </c>
      <c r="M36" s="73">
        <v>46036</v>
      </c>
      <c r="N36" s="74" t="s">
        <v>305</v>
      </c>
      <c r="O36" s="75" t="s">
        <v>209</v>
      </c>
      <c r="P36" s="73">
        <v>46036</v>
      </c>
      <c r="Q36" s="74" t="s">
        <v>306</v>
      </c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3.2" outlineLevel="1" spans="1:29">
      <c r="A37" s="68" t="s">
        <v>391</v>
      </c>
      <c r="B37" s="68" t="s">
        <v>402</v>
      </c>
      <c r="C37" s="68" t="s">
        <v>403</v>
      </c>
      <c r="D37" s="72" t="s">
        <v>394</v>
      </c>
      <c r="E37" s="72" t="s">
        <v>309</v>
      </c>
      <c r="F37" s="72" t="s">
        <v>310</v>
      </c>
      <c r="G37" s="70" t="s">
        <v>209</v>
      </c>
      <c r="H37" s="71"/>
      <c r="I37" s="71"/>
      <c r="J37" s="73">
        <v>46036</v>
      </c>
      <c r="K37" s="74" t="s">
        <v>305</v>
      </c>
      <c r="L37" s="75" t="s">
        <v>209</v>
      </c>
      <c r="M37" s="73">
        <v>46036</v>
      </c>
      <c r="N37" s="74" t="s">
        <v>305</v>
      </c>
      <c r="O37" s="75" t="s">
        <v>209</v>
      </c>
      <c r="P37" s="73">
        <v>46036</v>
      </c>
      <c r="Q37" s="74" t="s">
        <v>306</v>
      </c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2" outlineLevel="1" spans="1:29">
      <c r="A38" s="68" t="s">
        <v>404</v>
      </c>
      <c r="B38" s="68" t="s">
        <v>405</v>
      </c>
      <c r="C38" s="68" t="s">
        <v>406</v>
      </c>
      <c r="D38" s="72" t="s">
        <v>407</v>
      </c>
      <c r="E38" s="72" t="s">
        <v>408</v>
      </c>
      <c r="F38" s="72" t="s">
        <v>409</v>
      </c>
      <c r="G38" s="70" t="s">
        <v>209</v>
      </c>
      <c r="H38" s="71"/>
      <c r="I38" s="71"/>
      <c r="J38" s="73">
        <v>46036</v>
      </c>
      <c r="K38" s="74" t="s">
        <v>305</v>
      </c>
      <c r="L38" s="75" t="s">
        <v>209</v>
      </c>
      <c r="M38" s="73">
        <v>46036</v>
      </c>
      <c r="N38" s="74" t="s">
        <v>305</v>
      </c>
      <c r="O38" s="75" t="s">
        <v>209</v>
      </c>
      <c r="P38" s="73">
        <v>46036</v>
      </c>
      <c r="Q38" s="74" t="s">
        <v>306</v>
      </c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2" outlineLevel="1" spans="1:29">
      <c r="A39" s="68" t="s">
        <v>404</v>
      </c>
      <c r="B39" s="68" t="s">
        <v>410</v>
      </c>
      <c r="C39" s="68" t="s">
        <v>411</v>
      </c>
      <c r="D39" s="72" t="s">
        <v>412</v>
      </c>
      <c r="E39" s="72" t="s">
        <v>413</v>
      </c>
      <c r="F39" s="72" t="s">
        <v>304</v>
      </c>
      <c r="G39" s="70" t="s">
        <v>209</v>
      </c>
      <c r="H39" s="71"/>
      <c r="I39" s="71"/>
      <c r="J39" s="73">
        <v>46036</v>
      </c>
      <c r="K39" s="74" t="s">
        <v>305</v>
      </c>
      <c r="L39" s="75" t="s">
        <v>209</v>
      </c>
      <c r="M39" s="73">
        <v>46036</v>
      </c>
      <c r="N39" s="74" t="s">
        <v>305</v>
      </c>
      <c r="O39" s="75" t="s">
        <v>209</v>
      </c>
      <c r="P39" s="73">
        <v>46036</v>
      </c>
      <c r="Q39" s="74" t="s">
        <v>306</v>
      </c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2" outlineLevel="1" spans="1:29">
      <c r="A40" s="68" t="s">
        <v>404</v>
      </c>
      <c r="B40" s="68" t="s">
        <v>414</v>
      </c>
      <c r="C40" s="68" t="s">
        <v>415</v>
      </c>
      <c r="D40" s="72" t="s">
        <v>416</v>
      </c>
      <c r="E40" s="72" t="s">
        <v>331</v>
      </c>
      <c r="F40" s="72" t="s">
        <v>304</v>
      </c>
      <c r="G40" s="70" t="s">
        <v>209</v>
      </c>
      <c r="H40" s="71"/>
      <c r="I40" s="71"/>
      <c r="J40" s="73">
        <v>46036</v>
      </c>
      <c r="K40" s="74" t="s">
        <v>305</v>
      </c>
      <c r="L40" s="75" t="s">
        <v>209</v>
      </c>
      <c r="M40" s="73">
        <v>46036</v>
      </c>
      <c r="N40" s="74" t="s">
        <v>305</v>
      </c>
      <c r="O40" s="75" t="s">
        <v>209</v>
      </c>
      <c r="P40" s="73">
        <v>46036</v>
      </c>
      <c r="Q40" s="74" t="s">
        <v>306</v>
      </c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2" outlineLevel="1" spans="1:29">
      <c r="A41" s="68" t="s">
        <v>404</v>
      </c>
      <c r="B41" s="68" t="s">
        <v>417</v>
      </c>
      <c r="C41" s="68" t="s">
        <v>418</v>
      </c>
      <c r="D41" s="72" t="s">
        <v>407</v>
      </c>
      <c r="E41" s="72" t="s">
        <v>309</v>
      </c>
      <c r="F41" s="72" t="s">
        <v>310</v>
      </c>
      <c r="G41" s="70" t="s">
        <v>209</v>
      </c>
      <c r="H41" s="71"/>
      <c r="I41" s="71"/>
      <c r="J41" s="73">
        <v>46036</v>
      </c>
      <c r="K41" s="74" t="s">
        <v>305</v>
      </c>
      <c r="L41" s="75" t="s">
        <v>209</v>
      </c>
      <c r="M41" s="73">
        <v>46036</v>
      </c>
      <c r="N41" s="74" t="s">
        <v>305</v>
      </c>
      <c r="O41" s="75" t="s">
        <v>209</v>
      </c>
      <c r="P41" s="73">
        <v>46036</v>
      </c>
      <c r="Q41" s="74" t="s">
        <v>306</v>
      </c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2" outlineLevel="1" spans="1:29">
      <c r="A42" s="68" t="s">
        <v>419</v>
      </c>
      <c r="B42" s="68" t="s">
        <v>420</v>
      </c>
      <c r="C42" s="68" t="s">
        <v>421</v>
      </c>
      <c r="D42" s="72" t="s">
        <v>326</v>
      </c>
      <c r="E42" s="72" t="s">
        <v>422</v>
      </c>
      <c r="F42" s="72" t="s">
        <v>423</v>
      </c>
      <c r="G42" s="70" t="s">
        <v>209</v>
      </c>
      <c r="H42" s="71"/>
      <c r="I42" s="71"/>
      <c r="J42" s="73">
        <v>46036</v>
      </c>
      <c r="K42" s="74" t="s">
        <v>305</v>
      </c>
      <c r="L42" s="75" t="s">
        <v>209</v>
      </c>
      <c r="M42" s="73">
        <v>46036</v>
      </c>
      <c r="N42" s="74" t="s">
        <v>305</v>
      </c>
      <c r="O42" s="75" t="s">
        <v>209</v>
      </c>
      <c r="P42" s="73">
        <v>46036</v>
      </c>
      <c r="Q42" s="74" t="s">
        <v>306</v>
      </c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2" outlineLevel="1" spans="1:29">
      <c r="A43" s="68" t="s">
        <v>419</v>
      </c>
      <c r="B43" s="68" t="s">
        <v>424</v>
      </c>
      <c r="C43" s="68" t="s">
        <v>425</v>
      </c>
      <c r="D43" s="72" t="s">
        <v>330</v>
      </c>
      <c r="E43" s="72" t="s">
        <v>331</v>
      </c>
      <c r="F43" s="72" t="s">
        <v>304</v>
      </c>
      <c r="G43" s="70" t="s">
        <v>209</v>
      </c>
      <c r="H43" s="71"/>
      <c r="I43" s="71"/>
      <c r="J43" s="73">
        <v>46036</v>
      </c>
      <c r="K43" s="74" t="s">
        <v>305</v>
      </c>
      <c r="L43" s="75" t="s">
        <v>209</v>
      </c>
      <c r="M43" s="73">
        <v>46036</v>
      </c>
      <c r="N43" s="74" t="s">
        <v>305</v>
      </c>
      <c r="O43" s="75" t="s">
        <v>209</v>
      </c>
      <c r="P43" s="73">
        <v>46036</v>
      </c>
      <c r="Q43" s="74" t="s">
        <v>306</v>
      </c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2" outlineLevel="1" spans="1:29">
      <c r="A44" s="68" t="s">
        <v>419</v>
      </c>
      <c r="B44" s="68" t="s">
        <v>426</v>
      </c>
      <c r="C44" s="68" t="s">
        <v>427</v>
      </c>
      <c r="D44" s="72" t="s">
        <v>326</v>
      </c>
      <c r="E44" s="72" t="s">
        <v>309</v>
      </c>
      <c r="F44" s="72" t="s">
        <v>310</v>
      </c>
      <c r="G44" s="70" t="s">
        <v>209</v>
      </c>
      <c r="H44" s="71"/>
      <c r="I44" s="71"/>
      <c r="J44" s="73">
        <v>46036</v>
      </c>
      <c r="K44" s="74" t="s">
        <v>305</v>
      </c>
      <c r="L44" s="75" t="s">
        <v>209</v>
      </c>
      <c r="M44" s="73">
        <v>46036</v>
      </c>
      <c r="N44" s="74" t="s">
        <v>305</v>
      </c>
      <c r="O44" s="75" t="s">
        <v>209</v>
      </c>
      <c r="P44" s="73">
        <v>46036</v>
      </c>
      <c r="Q44" s="74" t="s">
        <v>306</v>
      </c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2" outlineLevel="1" spans="1:29">
      <c r="A45" s="68" t="s">
        <v>428</v>
      </c>
      <c r="B45" s="68" t="s">
        <v>429</v>
      </c>
      <c r="C45" s="68" t="s">
        <v>430</v>
      </c>
      <c r="D45" s="72" t="s">
        <v>431</v>
      </c>
      <c r="E45" s="72" t="s">
        <v>432</v>
      </c>
      <c r="F45" s="72" t="s">
        <v>304</v>
      </c>
      <c r="G45" s="70" t="s">
        <v>209</v>
      </c>
      <c r="H45" s="71"/>
      <c r="I45" s="71"/>
      <c r="J45" s="73">
        <v>46036</v>
      </c>
      <c r="K45" s="74" t="s">
        <v>305</v>
      </c>
      <c r="L45" s="75" t="s">
        <v>209</v>
      </c>
      <c r="M45" s="73">
        <v>46036</v>
      </c>
      <c r="N45" s="74" t="s">
        <v>305</v>
      </c>
      <c r="O45" s="75" t="s">
        <v>209</v>
      </c>
      <c r="P45" s="73">
        <v>46036</v>
      </c>
      <c r="Q45" s="74" t="s">
        <v>306</v>
      </c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2" outlineLevel="1" spans="1:29">
      <c r="A46" s="68" t="s">
        <v>428</v>
      </c>
      <c r="B46" s="68" t="s">
        <v>433</v>
      </c>
      <c r="C46" s="68" t="s">
        <v>434</v>
      </c>
      <c r="D46" s="72" t="s">
        <v>435</v>
      </c>
      <c r="E46" s="72" t="s">
        <v>342</v>
      </c>
      <c r="F46" s="72" t="s">
        <v>352</v>
      </c>
      <c r="G46" s="70" t="s">
        <v>209</v>
      </c>
      <c r="H46" s="71"/>
      <c r="I46" s="71"/>
      <c r="J46" s="73">
        <v>46036</v>
      </c>
      <c r="K46" s="74" t="s">
        <v>305</v>
      </c>
      <c r="L46" s="75" t="s">
        <v>209</v>
      </c>
      <c r="M46" s="73">
        <v>46036</v>
      </c>
      <c r="N46" s="74" t="s">
        <v>305</v>
      </c>
      <c r="O46" s="75" t="s">
        <v>209</v>
      </c>
      <c r="P46" s="73">
        <v>46036</v>
      </c>
      <c r="Q46" s="74" t="s">
        <v>306</v>
      </c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2" outlineLevel="1" spans="1:29">
      <c r="A47" s="68" t="s">
        <v>428</v>
      </c>
      <c r="B47" s="68" t="s">
        <v>436</v>
      </c>
      <c r="C47" s="68" t="s">
        <v>437</v>
      </c>
      <c r="D47" s="72" t="s">
        <v>438</v>
      </c>
      <c r="E47" s="72" t="s">
        <v>309</v>
      </c>
      <c r="F47" s="72" t="s">
        <v>310</v>
      </c>
      <c r="G47" s="70" t="s">
        <v>209</v>
      </c>
      <c r="H47" s="71"/>
      <c r="I47" s="71"/>
      <c r="J47" s="73">
        <v>46036</v>
      </c>
      <c r="K47" s="74" t="s">
        <v>305</v>
      </c>
      <c r="L47" s="75" t="s">
        <v>209</v>
      </c>
      <c r="M47" s="73">
        <v>46036</v>
      </c>
      <c r="N47" s="74" t="s">
        <v>305</v>
      </c>
      <c r="O47" s="75" t="s">
        <v>209</v>
      </c>
      <c r="P47" s="73">
        <v>46036</v>
      </c>
      <c r="Q47" s="74" t="s">
        <v>306</v>
      </c>
      <c r="R47" s="30"/>
      <c r="S47" s="43"/>
      <c r="T47" s="53"/>
      <c r="U47" s="43"/>
      <c r="V47" s="43"/>
      <c r="W47" s="43"/>
      <c r="X47" s="43"/>
      <c r="Y47" s="43"/>
      <c r="Z47" s="43"/>
      <c r="AA47" s="43"/>
      <c r="AB47" s="43"/>
      <c r="AC47" s="43"/>
    </row>
    <row r="48" ht="13.2" outlineLevel="1" spans="1:29">
      <c r="A48" s="68" t="s">
        <v>439</v>
      </c>
      <c r="B48" s="68" t="s">
        <v>440</v>
      </c>
      <c r="C48" s="68" t="s">
        <v>441</v>
      </c>
      <c r="D48" s="72" t="s">
        <v>442</v>
      </c>
      <c r="E48" s="72" t="s">
        <v>443</v>
      </c>
      <c r="F48" s="72" t="s">
        <v>304</v>
      </c>
      <c r="G48" s="70" t="s">
        <v>209</v>
      </c>
      <c r="H48" s="71"/>
      <c r="I48" s="71"/>
      <c r="J48" s="73">
        <v>46036</v>
      </c>
      <c r="K48" s="74" t="s">
        <v>305</v>
      </c>
      <c r="L48" s="75" t="s">
        <v>209</v>
      </c>
      <c r="M48" s="73">
        <v>46036</v>
      </c>
      <c r="N48" s="74" t="s">
        <v>305</v>
      </c>
      <c r="O48" s="75" t="s">
        <v>209</v>
      </c>
      <c r="P48" s="73">
        <v>46036</v>
      </c>
      <c r="Q48" s="74" t="s">
        <v>306</v>
      </c>
      <c r="R48" s="30"/>
      <c r="S48" s="43"/>
      <c r="T48" s="53"/>
      <c r="U48" s="43"/>
      <c r="V48" s="43"/>
      <c r="W48" s="43"/>
      <c r="X48" s="43"/>
      <c r="Y48" s="43"/>
      <c r="Z48" s="43"/>
      <c r="AA48" s="43"/>
      <c r="AB48" s="43"/>
      <c r="AC48" s="43"/>
    </row>
    <row r="49" ht="13.2" spans="1:29">
      <c r="A49" s="68" t="s">
        <v>439</v>
      </c>
      <c r="B49" s="68" t="s">
        <v>444</v>
      </c>
      <c r="C49" s="68" t="s">
        <v>445</v>
      </c>
      <c r="D49" s="72" t="s">
        <v>446</v>
      </c>
      <c r="E49" s="72" t="s">
        <v>447</v>
      </c>
      <c r="F49" s="72" t="s">
        <v>304</v>
      </c>
      <c r="G49" s="70" t="s">
        <v>209</v>
      </c>
      <c r="H49" s="71"/>
      <c r="I49" s="71"/>
      <c r="J49" s="73">
        <v>46036</v>
      </c>
      <c r="K49" s="74" t="s">
        <v>305</v>
      </c>
      <c r="L49" s="75" t="s">
        <v>209</v>
      </c>
      <c r="M49" s="73">
        <v>46036</v>
      </c>
      <c r="N49" s="74" t="s">
        <v>305</v>
      </c>
      <c r="O49" s="75" t="s">
        <v>209</v>
      </c>
      <c r="P49" s="73">
        <v>46036</v>
      </c>
      <c r="Q49" s="74" t="s">
        <v>306</v>
      </c>
      <c r="R49" s="30"/>
      <c r="S49" s="47"/>
      <c r="T49" s="51"/>
      <c r="U49" s="47"/>
      <c r="V49" s="47"/>
      <c r="W49" s="47"/>
      <c r="X49" s="47"/>
      <c r="Y49" s="47"/>
      <c r="Z49" s="47"/>
      <c r="AA49" s="47"/>
      <c r="AB49" s="47"/>
      <c r="AC49" s="47"/>
    </row>
    <row r="50" ht="13.2" spans="1:29">
      <c r="A50" s="68" t="s">
        <v>439</v>
      </c>
      <c r="B50" s="68" t="s">
        <v>448</v>
      </c>
      <c r="C50" s="68" t="s">
        <v>449</v>
      </c>
      <c r="D50" s="72" t="s">
        <v>450</v>
      </c>
      <c r="E50" s="72" t="s">
        <v>309</v>
      </c>
      <c r="F50" s="72" t="s">
        <v>310</v>
      </c>
      <c r="G50" s="70" t="s">
        <v>209</v>
      </c>
      <c r="H50" s="71"/>
      <c r="I50" s="71"/>
      <c r="J50" s="73">
        <v>46036</v>
      </c>
      <c r="K50" s="74" t="s">
        <v>305</v>
      </c>
      <c r="L50" s="75" t="s">
        <v>209</v>
      </c>
      <c r="M50" s="73">
        <v>46036</v>
      </c>
      <c r="N50" s="74" t="s">
        <v>305</v>
      </c>
      <c r="O50" s="75" t="s">
        <v>209</v>
      </c>
      <c r="P50" s="73">
        <v>46036</v>
      </c>
      <c r="Q50" s="74" t="s">
        <v>306</v>
      </c>
      <c r="R50" s="30"/>
      <c r="S50" s="54"/>
      <c r="T50" s="55"/>
      <c r="U50" s="54"/>
      <c r="V50" s="54"/>
      <c r="W50" s="54"/>
      <c r="X50" s="54"/>
      <c r="Y50" s="54"/>
      <c r="Z50" s="54"/>
      <c r="AA50" s="54"/>
      <c r="AB50" s="54"/>
      <c r="AC50" s="54"/>
    </row>
    <row r="51" ht="13.2" spans="1:29">
      <c r="A51" s="68" t="s">
        <v>451</v>
      </c>
      <c r="B51" s="68" t="s">
        <v>452</v>
      </c>
      <c r="C51" s="68" t="s">
        <v>453</v>
      </c>
      <c r="D51" s="72" t="s">
        <v>454</v>
      </c>
      <c r="E51" s="72" t="s">
        <v>455</v>
      </c>
      <c r="F51" s="72" t="s">
        <v>304</v>
      </c>
      <c r="G51" s="70" t="s">
        <v>209</v>
      </c>
      <c r="H51" s="71"/>
      <c r="I51" s="71"/>
      <c r="J51" s="73">
        <v>46036</v>
      </c>
      <c r="K51" s="74" t="s">
        <v>305</v>
      </c>
      <c r="L51" s="75" t="s">
        <v>209</v>
      </c>
      <c r="M51" s="73">
        <v>46036</v>
      </c>
      <c r="N51" s="74" t="s">
        <v>305</v>
      </c>
      <c r="O51" s="75" t="s">
        <v>209</v>
      </c>
      <c r="P51" s="73">
        <v>46036</v>
      </c>
      <c r="Q51" s="74" t="s">
        <v>306</v>
      </c>
      <c r="R51" s="30"/>
      <c r="S51" s="54"/>
      <c r="T51" s="55"/>
      <c r="U51" s="54"/>
      <c r="V51" s="54"/>
      <c r="W51" s="54"/>
      <c r="X51" s="54"/>
      <c r="Y51" s="54"/>
      <c r="Z51" s="54"/>
      <c r="AA51" s="54"/>
      <c r="AB51" s="54"/>
      <c r="AC51" s="54"/>
    </row>
    <row r="52" ht="13.2" outlineLevel="1" spans="1:29">
      <c r="A52" s="68" t="s">
        <v>451</v>
      </c>
      <c r="B52" s="68" t="s">
        <v>456</v>
      </c>
      <c r="C52" s="68" t="s">
        <v>457</v>
      </c>
      <c r="D52" s="72" t="s">
        <v>458</v>
      </c>
      <c r="E52" s="72" t="s">
        <v>459</v>
      </c>
      <c r="F52" s="72" t="s">
        <v>304</v>
      </c>
      <c r="G52" s="70" t="s">
        <v>209</v>
      </c>
      <c r="H52" s="71"/>
      <c r="I52" s="71"/>
      <c r="J52" s="73">
        <v>46036</v>
      </c>
      <c r="K52" s="74" t="s">
        <v>305</v>
      </c>
      <c r="L52" s="75" t="s">
        <v>209</v>
      </c>
      <c r="M52" s="73">
        <v>46036</v>
      </c>
      <c r="N52" s="74" t="s">
        <v>305</v>
      </c>
      <c r="O52" s="75" t="s">
        <v>209</v>
      </c>
      <c r="P52" s="73">
        <v>46036</v>
      </c>
      <c r="Q52" s="74" t="s">
        <v>306</v>
      </c>
      <c r="R52" s="30"/>
      <c r="S52" s="37"/>
      <c r="T52" s="56"/>
      <c r="U52" s="37"/>
      <c r="V52" s="37"/>
      <c r="W52" s="37"/>
      <c r="X52" s="37"/>
      <c r="Y52" s="37"/>
      <c r="Z52" s="37"/>
      <c r="AA52" s="37"/>
      <c r="AB52" s="37"/>
      <c r="AC52" s="37"/>
    </row>
    <row r="53" ht="13.2" outlineLevel="1" spans="1:29">
      <c r="A53" s="68" t="s">
        <v>451</v>
      </c>
      <c r="B53" s="68" t="s">
        <v>460</v>
      </c>
      <c r="C53" s="68" t="s">
        <v>461</v>
      </c>
      <c r="D53" s="72" t="s">
        <v>454</v>
      </c>
      <c r="E53" s="72" t="s">
        <v>309</v>
      </c>
      <c r="F53" s="72" t="s">
        <v>310</v>
      </c>
      <c r="G53" s="70" t="s">
        <v>209</v>
      </c>
      <c r="H53" s="71"/>
      <c r="I53" s="71"/>
      <c r="J53" s="73">
        <v>46036</v>
      </c>
      <c r="K53" s="74" t="s">
        <v>305</v>
      </c>
      <c r="L53" s="75" t="s">
        <v>209</v>
      </c>
      <c r="M53" s="73">
        <v>46036</v>
      </c>
      <c r="N53" s="74" t="s">
        <v>305</v>
      </c>
      <c r="O53" s="75" t="s">
        <v>209</v>
      </c>
      <c r="P53" s="73">
        <v>46036</v>
      </c>
      <c r="Q53" s="74" t="s">
        <v>306</v>
      </c>
      <c r="R53" s="30"/>
      <c r="S53" s="37"/>
      <c r="T53" s="56"/>
      <c r="U53" s="37"/>
      <c r="V53" s="37"/>
      <c r="W53" s="37"/>
      <c r="X53" s="37"/>
      <c r="Y53" s="37"/>
      <c r="Z53" s="37"/>
      <c r="AA53" s="37"/>
      <c r="AB53" s="37"/>
      <c r="AC53" s="37"/>
    </row>
    <row r="54" ht="64.5" customHeight="1" outlineLevel="1" spans="1:29">
      <c r="A54" s="62"/>
      <c r="B54" s="62"/>
      <c r="C54" s="62"/>
      <c r="D54" s="63"/>
      <c r="E54" s="63"/>
      <c r="F54" s="62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62"/>
      <c r="S54" s="37"/>
      <c r="T54" s="57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62"/>
      <c r="B55" s="62"/>
      <c r="C55" s="62"/>
      <c r="D55" s="63"/>
      <c r="E55" s="63"/>
      <c r="F55" s="62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67"/>
      <c r="S55" s="54"/>
      <c r="T55" s="55"/>
      <c r="U55" s="54"/>
      <c r="V55" s="54"/>
      <c r="W55" s="54"/>
      <c r="X55" s="54"/>
      <c r="Y55" s="54"/>
      <c r="Z55" s="54"/>
      <c r="AA55" s="54"/>
      <c r="AB55" s="54"/>
      <c r="AC55" s="54"/>
    </row>
    <row r="56" ht="64.5" customHeight="1" outlineLevel="1" spans="1:29">
      <c r="A56" s="62"/>
      <c r="B56" s="62"/>
      <c r="C56" s="62"/>
      <c r="D56" s="63"/>
      <c r="E56" s="63"/>
      <c r="F56" s="62"/>
      <c r="G56" s="1"/>
      <c r="H56" s="64"/>
      <c r="I56" s="64"/>
      <c r="J56" s="1"/>
      <c r="K56" s="1"/>
      <c r="L56" s="1"/>
      <c r="M56" s="1"/>
      <c r="N56" s="1"/>
      <c r="O56" s="1"/>
      <c r="P56" s="1"/>
      <c r="Q56" s="1"/>
      <c r="R56" s="67"/>
      <c r="S56" s="37"/>
      <c r="T56" s="56"/>
      <c r="U56" s="37"/>
      <c r="V56" s="37"/>
      <c r="W56" s="37"/>
      <c r="X56" s="37"/>
      <c r="Y56" s="37"/>
      <c r="Z56" s="37"/>
      <c r="AA56" s="37"/>
      <c r="AB56" s="37"/>
      <c r="AC56" s="37"/>
    </row>
    <row r="57" ht="64.5" customHeight="1" spans="1:29">
      <c r="A57" s="62"/>
      <c r="B57" s="62"/>
      <c r="C57" s="62"/>
      <c r="D57" s="65"/>
      <c r="E57" s="65"/>
      <c r="F57" s="66"/>
      <c r="G57" s="1"/>
      <c r="H57" s="64"/>
      <c r="I57" s="64"/>
      <c r="J57" s="1"/>
      <c r="K57" s="1"/>
      <c r="L57" s="1"/>
      <c r="M57" s="1"/>
      <c r="N57" s="1"/>
      <c r="O57" s="1"/>
      <c r="P57" s="1"/>
      <c r="Q57" s="1"/>
      <c r="R57" s="66"/>
      <c r="S57" s="37"/>
      <c r="T57" s="57"/>
      <c r="U57" s="37"/>
      <c r="V57" s="37"/>
      <c r="W57" s="37"/>
      <c r="X57" s="37"/>
      <c r="Y57" s="37"/>
      <c r="Z57" s="37"/>
      <c r="AA57" s="37"/>
      <c r="AB57" s="37"/>
      <c r="AC57" s="37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37"/>
      <c r="C228" s="38"/>
      <c r="D228" s="39"/>
      <c r="E228" s="39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37"/>
      <c r="C229" s="38"/>
      <c r="D229" s="39"/>
      <c r="E229" s="39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2.75" customHeight="1" spans="1:29">
      <c r="A252" s="37"/>
      <c r="B252" s="43"/>
      <c r="C252" s="58"/>
      <c r="D252" s="59"/>
      <c r="E252" s="59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2.75" customHeight="1" spans="1:29">
      <c r="A253" s="37"/>
      <c r="B253" s="43"/>
      <c r="C253" s="58"/>
      <c r="D253" s="59"/>
      <c r="E253" s="59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7:H57 G11:G56 H2:H3 L11:L57 M2:M3 O11:O5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35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186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COUNTA(B11:B969)-COUNTIF($N11:$N969,"Skip")</f>
        <v>57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COUNTIF($G11:$G969,C5)</f>
        <v>57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COUNTIF($L11:$L969,C5)</f>
        <v>57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COUNTIF($O11:$O969,C5)</f>
        <v>57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13.2" spans="1:29">
      <c r="A11" s="76" t="s">
        <v>462</v>
      </c>
      <c r="B11" s="76" t="s">
        <v>463</v>
      </c>
      <c r="C11" s="76" t="s">
        <v>464</v>
      </c>
      <c r="D11" s="77" t="s">
        <v>254</v>
      </c>
      <c r="E11" s="77" t="s">
        <v>465</v>
      </c>
      <c r="F11" s="77" t="s">
        <v>466</v>
      </c>
      <c r="G11" s="70" t="s">
        <v>209</v>
      </c>
      <c r="H11" s="71"/>
      <c r="I11" s="71"/>
      <c r="J11" s="73">
        <v>46036</v>
      </c>
      <c r="K11" s="74" t="s">
        <v>305</v>
      </c>
      <c r="L11" s="75" t="s">
        <v>209</v>
      </c>
      <c r="M11" s="73">
        <v>46036</v>
      </c>
      <c r="N11" s="74" t="s">
        <v>305</v>
      </c>
      <c r="O11" s="75" t="s">
        <v>209</v>
      </c>
      <c r="P11" s="73">
        <v>46036</v>
      </c>
      <c r="Q11" s="74" t="s">
        <v>306</v>
      </c>
      <c r="R11" s="73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13.2" spans="1:29">
      <c r="A12" s="76" t="s">
        <v>462</v>
      </c>
      <c r="B12" s="76" t="s">
        <v>467</v>
      </c>
      <c r="C12" s="76" t="s">
        <v>468</v>
      </c>
      <c r="D12" s="77" t="s">
        <v>254</v>
      </c>
      <c r="E12" s="77" t="s">
        <v>469</v>
      </c>
      <c r="F12" s="77" t="s">
        <v>304</v>
      </c>
      <c r="G12" s="70" t="s">
        <v>209</v>
      </c>
      <c r="H12" s="71"/>
      <c r="I12" s="71"/>
      <c r="J12" s="73">
        <v>46036</v>
      </c>
      <c r="K12" s="74" t="s">
        <v>305</v>
      </c>
      <c r="L12" s="75" t="s">
        <v>209</v>
      </c>
      <c r="M12" s="73">
        <v>46036</v>
      </c>
      <c r="N12" s="74" t="s">
        <v>305</v>
      </c>
      <c r="O12" s="75" t="s">
        <v>209</v>
      </c>
      <c r="P12" s="73">
        <v>46036</v>
      </c>
      <c r="Q12" s="74" t="s">
        <v>306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13.2" spans="1:29">
      <c r="A13" s="76" t="s">
        <v>462</v>
      </c>
      <c r="B13" s="76" t="s">
        <v>470</v>
      </c>
      <c r="C13" s="76" t="s">
        <v>471</v>
      </c>
      <c r="D13" s="77" t="s">
        <v>254</v>
      </c>
      <c r="E13" s="77" t="s">
        <v>309</v>
      </c>
      <c r="F13" s="77" t="s">
        <v>310</v>
      </c>
      <c r="G13" s="70" t="s">
        <v>209</v>
      </c>
      <c r="H13" s="71"/>
      <c r="I13" s="71"/>
      <c r="J13" s="73">
        <v>46036</v>
      </c>
      <c r="K13" s="74" t="s">
        <v>305</v>
      </c>
      <c r="L13" s="75" t="s">
        <v>209</v>
      </c>
      <c r="M13" s="73">
        <v>46036</v>
      </c>
      <c r="N13" s="74" t="s">
        <v>305</v>
      </c>
      <c r="O13" s="75" t="s">
        <v>209</v>
      </c>
      <c r="P13" s="73">
        <v>46036</v>
      </c>
      <c r="Q13" s="74" t="s">
        <v>306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13.2" spans="1:29">
      <c r="A14" s="76" t="s">
        <v>472</v>
      </c>
      <c r="B14" s="76" t="s">
        <v>473</v>
      </c>
      <c r="C14" s="76" t="s">
        <v>474</v>
      </c>
      <c r="D14" s="77" t="s">
        <v>475</v>
      </c>
      <c r="E14" s="77" t="s">
        <v>476</v>
      </c>
      <c r="F14" s="77" t="s">
        <v>466</v>
      </c>
      <c r="G14" s="70" t="s">
        <v>209</v>
      </c>
      <c r="H14" s="71"/>
      <c r="I14" s="71"/>
      <c r="J14" s="73">
        <v>46036</v>
      </c>
      <c r="K14" s="74" t="s">
        <v>305</v>
      </c>
      <c r="L14" s="75" t="s">
        <v>209</v>
      </c>
      <c r="M14" s="73">
        <v>46036</v>
      </c>
      <c r="N14" s="74" t="s">
        <v>305</v>
      </c>
      <c r="O14" s="75" t="s">
        <v>209</v>
      </c>
      <c r="P14" s="73">
        <v>46036</v>
      </c>
      <c r="Q14" s="74" t="s">
        <v>306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13.2" spans="1:29">
      <c r="A15" s="76" t="s">
        <v>472</v>
      </c>
      <c r="B15" s="76" t="s">
        <v>477</v>
      </c>
      <c r="C15" s="76" t="s">
        <v>478</v>
      </c>
      <c r="D15" s="77" t="s">
        <v>479</v>
      </c>
      <c r="E15" s="77" t="s">
        <v>480</v>
      </c>
      <c r="F15" s="77" t="s">
        <v>466</v>
      </c>
      <c r="G15" s="70" t="s">
        <v>209</v>
      </c>
      <c r="H15" s="71"/>
      <c r="I15" s="71"/>
      <c r="J15" s="73">
        <v>46036</v>
      </c>
      <c r="K15" s="74" t="s">
        <v>305</v>
      </c>
      <c r="L15" s="75" t="s">
        <v>209</v>
      </c>
      <c r="M15" s="73">
        <v>46036</v>
      </c>
      <c r="N15" s="74" t="s">
        <v>305</v>
      </c>
      <c r="O15" s="75" t="s">
        <v>209</v>
      </c>
      <c r="P15" s="73">
        <v>46036</v>
      </c>
      <c r="Q15" s="74" t="s">
        <v>306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13.2" spans="1:29">
      <c r="A16" s="76" t="s">
        <v>472</v>
      </c>
      <c r="B16" s="76" t="s">
        <v>481</v>
      </c>
      <c r="C16" s="76" t="s">
        <v>482</v>
      </c>
      <c r="D16" s="77" t="s">
        <v>475</v>
      </c>
      <c r="E16" s="77" t="s">
        <v>309</v>
      </c>
      <c r="F16" s="77" t="s">
        <v>310</v>
      </c>
      <c r="G16" s="70" t="s">
        <v>209</v>
      </c>
      <c r="H16" s="71"/>
      <c r="I16" s="71"/>
      <c r="J16" s="73">
        <v>46036</v>
      </c>
      <c r="K16" s="74" t="s">
        <v>305</v>
      </c>
      <c r="L16" s="75" t="s">
        <v>209</v>
      </c>
      <c r="M16" s="73">
        <v>46036</v>
      </c>
      <c r="N16" s="74" t="s">
        <v>305</v>
      </c>
      <c r="O16" s="75" t="s">
        <v>209</v>
      </c>
      <c r="P16" s="73">
        <v>46036</v>
      </c>
      <c r="Q16" s="74" t="s">
        <v>306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13.2" spans="1:29">
      <c r="A17" s="76" t="s">
        <v>483</v>
      </c>
      <c r="B17" s="76" t="s">
        <v>484</v>
      </c>
      <c r="C17" s="76" t="s">
        <v>485</v>
      </c>
      <c r="D17" s="77" t="s">
        <v>486</v>
      </c>
      <c r="E17" s="77" t="s">
        <v>487</v>
      </c>
      <c r="F17" s="77" t="s">
        <v>466</v>
      </c>
      <c r="G17" s="70" t="s">
        <v>209</v>
      </c>
      <c r="H17" s="71"/>
      <c r="I17" s="71"/>
      <c r="J17" s="73">
        <v>46036</v>
      </c>
      <c r="K17" s="74" t="s">
        <v>305</v>
      </c>
      <c r="L17" s="75" t="s">
        <v>209</v>
      </c>
      <c r="M17" s="73">
        <v>46036</v>
      </c>
      <c r="N17" s="74" t="s">
        <v>305</v>
      </c>
      <c r="O17" s="75" t="s">
        <v>209</v>
      </c>
      <c r="P17" s="73">
        <v>46036</v>
      </c>
      <c r="Q17" s="74" t="s">
        <v>306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13.2" spans="1:29">
      <c r="A18" s="76" t="s">
        <v>483</v>
      </c>
      <c r="B18" s="76" t="s">
        <v>488</v>
      </c>
      <c r="C18" s="76" t="s">
        <v>489</v>
      </c>
      <c r="D18" s="77" t="s">
        <v>490</v>
      </c>
      <c r="E18" s="77" t="s">
        <v>491</v>
      </c>
      <c r="F18" s="77" t="s">
        <v>466</v>
      </c>
      <c r="G18" s="70" t="s">
        <v>209</v>
      </c>
      <c r="H18" s="71"/>
      <c r="I18" s="71"/>
      <c r="J18" s="73">
        <v>46036</v>
      </c>
      <c r="K18" s="74" t="s">
        <v>305</v>
      </c>
      <c r="L18" s="75" t="s">
        <v>209</v>
      </c>
      <c r="M18" s="73">
        <v>46036</v>
      </c>
      <c r="N18" s="74" t="s">
        <v>305</v>
      </c>
      <c r="O18" s="75" t="s">
        <v>209</v>
      </c>
      <c r="P18" s="73">
        <v>46036</v>
      </c>
      <c r="Q18" s="74" t="s">
        <v>306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13.2" spans="1:29">
      <c r="A19" s="76" t="s">
        <v>483</v>
      </c>
      <c r="B19" s="76" t="s">
        <v>492</v>
      </c>
      <c r="C19" s="76" t="s">
        <v>493</v>
      </c>
      <c r="D19" s="77" t="s">
        <v>494</v>
      </c>
      <c r="E19" s="77" t="s">
        <v>309</v>
      </c>
      <c r="F19" s="77" t="s">
        <v>310</v>
      </c>
      <c r="G19" s="70" t="s">
        <v>209</v>
      </c>
      <c r="H19" s="71"/>
      <c r="I19" s="71"/>
      <c r="J19" s="73">
        <v>46036</v>
      </c>
      <c r="K19" s="74" t="s">
        <v>305</v>
      </c>
      <c r="L19" s="75" t="s">
        <v>209</v>
      </c>
      <c r="M19" s="73">
        <v>46036</v>
      </c>
      <c r="N19" s="74" t="s">
        <v>305</v>
      </c>
      <c r="O19" s="75" t="s">
        <v>209</v>
      </c>
      <c r="P19" s="73">
        <v>46036</v>
      </c>
      <c r="Q19" s="74" t="s">
        <v>306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13.2" spans="1:29">
      <c r="A20" s="76" t="s">
        <v>495</v>
      </c>
      <c r="B20" s="76" t="s">
        <v>496</v>
      </c>
      <c r="C20" s="76" t="s">
        <v>497</v>
      </c>
      <c r="D20" s="77" t="s">
        <v>498</v>
      </c>
      <c r="E20" s="77" t="s">
        <v>498</v>
      </c>
      <c r="F20" s="77" t="s">
        <v>466</v>
      </c>
      <c r="G20" s="70" t="s">
        <v>209</v>
      </c>
      <c r="H20" s="71"/>
      <c r="I20" s="71"/>
      <c r="J20" s="73">
        <v>46036</v>
      </c>
      <c r="K20" s="74" t="s">
        <v>305</v>
      </c>
      <c r="L20" s="75" t="s">
        <v>209</v>
      </c>
      <c r="M20" s="73">
        <v>46036</v>
      </c>
      <c r="N20" s="74" t="s">
        <v>305</v>
      </c>
      <c r="O20" s="75" t="s">
        <v>209</v>
      </c>
      <c r="P20" s="73">
        <v>46036</v>
      </c>
      <c r="Q20" s="74" t="s">
        <v>306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13.2" spans="1:29">
      <c r="A21" s="76" t="s">
        <v>495</v>
      </c>
      <c r="B21" s="76" t="s">
        <v>499</v>
      </c>
      <c r="C21" s="76" t="s">
        <v>500</v>
      </c>
      <c r="D21" s="77" t="s">
        <v>479</v>
      </c>
      <c r="E21" s="77" t="s">
        <v>480</v>
      </c>
      <c r="F21" s="77" t="s">
        <v>466</v>
      </c>
      <c r="G21" s="70" t="s">
        <v>209</v>
      </c>
      <c r="H21" s="71"/>
      <c r="I21" s="71"/>
      <c r="J21" s="73">
        <v>46036</v>
      </c>
      <c r="K21" s="74" t="s">
        <v>305</v>
      </c>
      <c r="L21" s="75" t="s">
        <v>209</v>
      </c>
      <c r="M21" s="73">
        <v>46036</v>
      </c>
      <c r="N21" s="74" t="s">
        <v>305</v>
      </c>
      <c r="O21" s="75" t="s">
        <v>209</v>
      </c>
      <c r="P21" s="73">
        <v>46036</v>
      </c>
      <c r="Q21" s="74" t="s">
        <v>306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13.2" spans="1:29">
      <c r="A22" s="76" t="s">
        <v>495</v>
      </c>
      <c r="B22" s="76" t="s">
        <v>501</v>
      </c>
      <c r="C22" s="76" t="s">
        <v>502</v>
      </c>
      <c r="D22" s="77" t="s">
        <v>475</v>
      </c>
      <c r="E22" s="77" t="s">
        <v>309</v>
      </c>
      <c r="F22" s="77" t="s">
        <v>310</v>
      </c>
      <c r="G22" s="70" t="s">
        <v>209</v>
      </c>
      <c r="H22" s="71"/>
      <c r="I22" s="71"/>
      <c r="J22" s="73">
        <v>46036</v>
      </c>
      <c r="K22" s="74" t="s">
        <v>305</v>
      </c>
      <c r="L22" s="75" t="s">
        <v>209</v>
      </c>
      <c r="M22" s="73">
        <v>46036</v>
      </c>
      <c r="N22" s="74" t="s">
        <v>305</v>
      </c>
      <c r="O22" s="75" t="s">
        <v>209</v>
      </c>
      <c r="P22" s="73">
        <v>46036</v>
      </c>
      <c r="Q22" s="74" t="s">
        <v>306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13.2" spans="1:29">
      <c r="A23" s="76" t="s">
        <v>503</v>
      </c>
      <c r="B23" s="76" t="s">
        <v>504</v>
      </c>
      <c r="C23" s="76" t="s">
        <v>505</v>
      </c>
      <c r="D23" s="77" t="s">
        <v>475</v>
      </c>
      <c r="E23" s="77" t="s">
        <v>506</v>
      </c>
      <c r="F23" s="77" t="s">
        <v>466</v>
      </c>
      <c r="G23" s="70" t="s">
        <v>209</v>
      </c>
      <c r="H23" s="71"/>
      <c r="I23" s="71"/>
      <c r="J23" s="73">
        <v>46036</v>
      </c>
      <c r="K23" s="74" t="s">
        <v>305</v>
      </c>
      <c r="L23" s="75" t="s">
        <v>209</v>
      </c>
      <c r="M23" s="73">
        <v>46036</v>
      </c>
      <c r="N23" s="74" t="s">
        <v>305</v>
      </c>
      <c r="O23" s="75" t="s">
        <v>209</v>
      </c>
      <c r="P23" s="73">
        <v>46036</v>
      </c>
      <c r="Q23" s="74" t="s">
        <v>306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13.2" spans="1:29">
      <c r="A24" s="76" t="s">
        <v>503</v>
      </c>
      <c r="B24" s="76" t="s">
        <v>507</v>
      </c>
      <c r="C24" s="76" t="s">
        <v>508</v>
      </c>
      <c r="D24" s="77" t="s">
        <v>479</v>
      </c>
      <c r="E24" s="77" t="s">
        <v>480</v>
      </c>
      <c r="F24" s="77" t="s">
        <v>466</v>
      </c>
      <c r="G24" s="70" t="s">
        <v>209</v>
      </c>
      <c r="H24" s="71"/>
      <c r="I24" s="71"/>
      <c r="J24" s="73">
        <v>46036</v>
      </c>
      <c r="K24" s="74" t="s">
        <v>305</v>
      </c>
      <c r="L24" s="75" t="s">
        <v>209</v>
      </c>
      <c r="M24" s="73">
        <v>46036</v>
      </c>
      <c r="N24" s="74" t="s">
        <v>305</v>
      </c>
      <c r="O24" s="75" t="s">
        <v>209</v>
      </c>
      <c r="P24" s="73">
        <v>46036</v>
      </c>
      <c r="Q24" s="74" t="s">
        <v>306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13.2" spans="1:29">
      <c r="A25" s="76" t="s">
        <v>503</v>
      </c>
      <c r="B25" s="76" t="s">
        <v>509</v>
      </c>
      <c r="C25" s="76" t="s">
        <v>510</v>
      </c>
      <c r="D25" s="77" t="s">
        <v>475</v>
      </c>
      <c r="E25" s="77" t="s">
        <v>309</v>
      </c>
      <c r="F25" s="77" t="s">
        <v>310</v>
      </c>
      <c r="G25" s="70" t="s">
        <v>209</v>
      </c>
      <c r="H25" s="71"/>
      <c r="I25" s="71"/>
      <c r="J25" s="73">
        <v>46036</v>
      </c>
      <c r="K25" s="74" t="s">
        <v>305</v>
      </c>
      <c r="L25" s="75" t="s">
        <v>209</v>
      </c>
      <c r="M25" s="73">
        <v>46036</v>
      </c>
      <c r="N25" s="74" t="s">
        <v>305</v>
      </c>
      <c r="O25" s="75" t="s">
        <v>209</v>
      </c>
      <c r="P25" s="73">
        <v>46036</v>
      </c>
      <c r="Q25" s="74" t="s">
        <v>306</v>
      </c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13.2" outlineLevel="1" spans="1:29">
      <c r="A26" s="76" t="s">
        <v>511</v>
      </c>
      <c r="B26" s="76" t="s">
        <v>512</v>
      </c>
      <c r="C26" s="76" t="s">
        <v>513</v>
      </c>
      <c r="D26" s="77" t="s">
        <v>475</v>
      </c>
      <c r="E26" s="77" t="s">
        <v>514</v>
      </c>
      <c r="F26" s="77" t="s">
        <v>466</v>
      </c>
      <c r="G26" s="70" t="s">
        <v>209</v>
      </c>
      <c r="H26" s="71"/>
      <c r="I26" s="71"/>
      <c r="J26" s="73">
        <v>46036</v>
      </c>
      <c r="K26" s="74" t="s">
        <v>305</v>
      </c>
      <c r="L26" s="75" t="s">
        <v>209</v>
      </c>
      <c r="M26" s="73">
        <v>46036</v>
      </c>
      <c r="N26" s="74" t="s">
        <v>305</v>
      </c>
      <c r="O26" s="75" t="s">
        <v>209</v>
      </c>
      <c r="P26" s="73">
        <v>46036</v>
      </c>
      <c r="Q26" s="74" t="s">
        <v>306</v>
      </c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13.2" outlineLevel="1" spans="1:29">
      <c r="A27" s="76" t="s">
        <v>511</v>
      </c>
      <c r="B27" s="76" t="s">
        <v>515</v>
      </c>
      <c r="C27" s="76" t="s">
        <v>516</v>
      </c>
      <c r="D27" s="77" t="s">
        <v>479</v>
      </c>
      <c r="E27" s="77" t="s">
        <v>480</v>
      </c>
      <c r="F27" s="77" t="s">
        <v>466</v>
      </c>
      <c r="G27" s="70" t="s">
        <v>209</v>
      </c>
      <c r="H27" s="71"/>
      <c r="I27" s="71"/>
      <c r="J27" s="73">
        <v>46036</v>
      </c>
      <c r="K27" s="74" t="s">
        <v>305</v>
      </c>
      <c r="L27" s="75" t="s">
        <v>209</v>
      </c>
      <c r="M27" s="73">
        <v>46036</v>
      </c>
      <c r="N27" s="74" t="s">
        <v>305</v>
      </c>
      <c r="O27" s="75" t="s">
        <v>209</v>
      </c>
      <c r="P27" s="73">
        <v>46036</v>
      </c>
      <c r="Q27" s="74" t="s">
        <v>306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13.2" outlineLevel="1" spans="1:29">
      <c r="A28" s="76" t="s">
        <v>511</v>
      </c>
      <c r="B28" s="76" t="s">
        <v>517</v>
      </c>
      <c r="C28" s="76" t="s">
        <v>518</v>
      </c>
      <c r="D28" s="77" t="s">
        <v>475</v>
      </c>
      <c r="E28" s="77" t="s">
        <v>309</v>
      </c>
      <c r="F28" s="77" t="s">
        <v>310</v>
      </c>
      <c r="G28" s="70" t="s">
        <v>209</v>
      </c>
      <c r="H28" s="71"/>
      <c r="I28" s="71"/>
      <c r="J28" s="73">
        <v>46036</v>
      </c>
      <c r="K28" s="74" t="s">
        <v>305</v>
      </c>
      <c r="L28" s="75" t="s">
        <v>209</v>
      </c>
      <c r="M28" s="73">
        <v>46036</v>
      </c>
      <c r="N28" s="74" t="s">
        <v>305</v>
      </c>
      <c r="O28" s="75" t="s">
        <v>209</v>
      </c>
      <c r="P28" s="73">
        <v>46036</v>
      </c>
      <c r="Q28" s="74" t="s">
        <v>306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13.2" outlineLevel="1" spans="1:29">
      <c r="A29" s="76" t="s">
        <v>519</v>
      </c>
      <c r="B29" s="76" t="s">
        <v>520</v>
      </c>
      <c r="C29" s="76" t="s">
        <v>521</v>
      </c>
      <c r="D29" s="77" t="s">
        <v>522</v>
      </c>
      <c r="E29" s="77" t="s">
        <v>523</v>
      </c>
      <c r="F29" s="77" t="s">
        <v>466</v>
      </c>
      <c r="G29" s="70" t="s">
        <v>209</v>
      </c>
      <c r="H29" s="71"/>
      <c r="I29" s="71"/>
      <c r="J29" s="73">
        <v>46036</v>
      </c>
      <c r="K29" s="74" t="s">
        <v>305</v>
      </c>
      <c r="L29" s="75" t="s">
        <v>209</v>
      </c>
      <c r="M29" s="73">
        <v>46036</v>
      </c>
      <c r="N29" s="74" t="s">
        <v>305</v>
      </c>
      <c r="O29" s="75" t="s">
        <v>209</v>
      </c>
      <c r="P29" s="73">
        <v>46036</v>
      </c>
      <c r="Q29" s="74" t="s">
        <v>306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13.2" outlineLevel="1" spans="1:29">
      <c r="A30" s="76" t="s">
        <v>519</v>
      </c>
      <c r="B30" s="76" t="s">
        <v>524</v>
      </c>
      <c r="C30" s="76" t="s">
        <v>525</v>
      </c>
      <c r="D30" s="77" t="s">
        <v>526</v>
      </c>
      <c r="E30" s="77" t="s">
        <v>527</v>
      </c>
      <c r="F30" s="77" t="s">
        <v>466</v>
      </c>
      <c r="G30" s="70" t="s">
        <v>209</v>
      </c>
      <c r="H30" s="71"/>
      <c r="I30" s="71"/>
      <c r="J30" s="73">
        <v>46036</v>
      </c>
      <c r="K30" s="74" t="s">
        <v>305</v>
      </c>
      <c r="L30" s="75" t="s">
        <v>209</v>
      </c>
      <c r="M30" s="73">
        <v>46036</v>
      </c>
      <c r="N30" s="74" t="s">
        <v>305</v>
      </c>
      <c r="O30" s="75" t="s">
        <v>209</v>
      </c>
      <c r="P30" s="73">
        <v>46036</v>
      </c>
      <c r="Q30" s="74" t="s">
        <v>306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13.2" outlineLevel="1" spans="1:29">
      <c r="A31" s="76" t="s">
        <v>519</v>
      </c>
      <c r="B31" s="76" t="s">
        <v>528</v>
      </c>
      <c r="C31" s="76" t="s">
        <v>529</v>
      </c>
      <c r="D31" s="77" t="s">
        <v>522</v>
      </c>
      <c r="E31" s="77" t="s">
        <v>309</v>
      </c>
      <c r="F31" s="77" t="s">
        <v>310</v>
      </c>
      <c r="G31" s="70" t="s">
        <v>209</v>
      </c>
      <c r="H31" s="71"/>
      <c r="I31" s="71"/>
      <c r="J31" s="73">
        <v>46036</v>
      </c>
      <c r="K31" s="74" t="s">
        <v>305</v>
      </c>
      <c r="L31" s="75" t="s">
        <v>209</v>
      </c>
      <c r="M31" s="73">
        <v>46036</v>
      </c>
      <c r="N31" s="74" t="s">
        <v>305</v>
      </c>
      <c r="O31" s="75" t="s">
        <v>209</v>
      </c>
      <c r="P31" s="73">
        <v>46036</v>
      </c>
      <c r="Q31" s="74" t="s">
        <v>306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13.2" outlineLevel="1" spans="1:29">
      <c r="A32" s="76" t="s">
        <v>530</v>
      </c>
      <c r="B32" s="76" t="s">
        <v>531</v>
      </c>
      <c r="C32" s="76" t="s">
        <v>532</v>
      </c>
      <c r="D32" s="77" t="s">
        <v>533</v>
      </c>
      <c r="E32" s="77" t="s">
        <v>534</v>
      </c>
      <c r="F32" s="77" t="s">
        <v>466</v>
      </c>
      <c r="G32" s="70" t="s">
        <v>209</v>
      </c>
      <c r="H32" s="71"/>
      <c r="I32" s="71"/>
      <c r="J32" s="73">
        <v>46036</v>
      </c>
      <c r="K32" s="74" t="s">
        <v>305</v>
      </c>
      <c r="L32" s="75" t="s">
        <v>209</v>
      </c>
      <c r="M32" s="73">
        <v>46036</v>
      </c>
      <c r="N32" s="74" t="s">
        <v>305</v>
      </c>
      <c r="O32" s="75" t="s">
        <v>209</v>
      </c>
      <c r="P32" s="73">
        <v>46036</v>
      </c>
      <c r="Q32" s="74" t="s">
        <v>306</v>
      </c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3.2" outlineLevel="1" spans="1:29">
      <c r="A33" s="76" t="s">
        <v>530</v>
      </c>
      <c r="B33" s="76" t="s">
        <v>535</v>
      </c>
      <c r="C33" s="76" t="s">
        <v>536</v>
      </c>
      <c r="D33" s="77" t="s">
        <v>479</v>
      </c>
      <c r="E33" s="77" t="s">
        <v>480</v>
      </c>
      <c r="F33" s="77" t="s">
        <v>466</v>
      </c>
      <c r="G33" s="70" t="s">
        <v>209</v>
      </c>
      <c r="H33" s="71"/>
      <c r="I33" s="71"/>
      <c r="J33" s="73">
        <v>46036</v>
      </c>
      <c r="K33" s="74" t="s">
        <v>305</v>
      </c>
      <c r="L33" s="75" t="s">
        <v>209</v>
      </c>
      <c r="M33" s="73">
        <v>46036</v>
      </c>
      <c r="N33" s="74" t="s">
        <v>305</v>
      </c>
      <c r="O33" s="75" t="s">
        <v>209</v>
      </c>
      <c r="P33" s="73">
        <v>46036</v>
      </c>
      <c r="Q33" s="74" t="s">
        <v>306</v>
      </c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3.2" outlineLevel="1" spans="1:29">
      <c r="A34" s="76" t="s">
        <v>530</v>
      </c>
      <c r="B34" s="76" t="s">
        <v>537</v>
      </c>
      <c r="C34" s="76" t="s">
        <v>538</v>
      </c>
      <c r="D34" s="77" t="s">
        <v>475</v>
      </c>
      <c r="E34" s="77" t="s">
        <v>309</v>
      </c>
      <c r="F34" s="77" t="s">
        <v>310</v>
      </c>
      <c r="G34" s="70" t="s">
        <v>209</v>
      </c>
      <c r="H34" s="71"/>
      <c r="I34" s="71"/>
      <c r="J34" s="73">
        <v>46036</v>
      </c>
      <c r="K34" s="74" t="s">
        <v>305</v>
      </c>
      <c r="L34" s="75" t="s">
        <v>209</v>
      </c>
      <c r="M34" s="73">
        <v>46036</v>
      </c>
      <c r="N34" s="74" t="s">
        <v>305</v>
      </c>
      <c r="O34" s="75" t="s">
        <v>209</v>
      </c>
      <c r="P34" s="73">
        <v>46036</v>
      </c>
      <c r="Q34" s="74" t="s">
        <v>306</v>
      </c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3.2" outlineLevel="1" spans="1:29">
      <c r="A35" s="76" t="s">
        <v>539</v>
      </c>
      <c r="B35" s="76" t="s">
        <v>540</v>
      </c>
      <c r="C35" s="76" t="s">
        <v>541</v>
      </c>
      <c r="D35" s="77" t="s">
        <v>542</v>
      </c>
      <c r="E35" s="77" t="s">
        <v>542</v>
      </c>
      <c r="F35" s="77" t="s">
        <v>466</v>
      </c>
      <c r="G35" s="70" t="s">
        <v>209</v>
      </c>
      <c r="H35" s="71"/>
      <c r="I35" s="71"/>
      <c r="J35" s="73">
        <v>46036</v>
      </c>
      <c r="K35" s="74" t="s">
        <v>305</v>
      </c>
      <c r="L35" s="75" t="s">
        <v>209</v>
      </c>
      <c r="M35" s="73">
        <v>46036</v>
      </c>
      <c r="N35" s="74" t="s">
        <v>305</v>
      </c>
      <c r="O35" s="75" t="s">
        <v>209</v>
      </c>
      <c r="P35" s="73">
        <v>46036</v>
      </c>
      <c r="Q35" s="74" t="s">
        <v>306</v>
      </c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3.2" outlineLevel="1" spans="1:29">
      <c r="A36" s="76" t="s">
        <v>539</v>
      </c>
      <c r="B36" s="76" t="s">
        <v>543</v>
      </c>
      <c r="C36" s="76" t="s">
        <v>544</v>
      </c>
      <c r="D36" s="77" t="s">
        <v>526</v>
      </c>
      <c r="E36" s="77" t="s">
        <v>527</v>
      </c>
      <c r="F36" s="77" t="s">
        <v>466</v>
      </c>
      <c r="G36" s="70" t="s">
        <v>209</v>
      </c>
      <c r="H36" s="71"/>
      <c r="I36" s="71"/>
      <c r="J36" s="73">
        <v>46036</v>
      </c>
      <c r="K36" s="74" t="s">
        <v>305</v>
      </c>
      <c r="L36" s="75" t="s">
        <v>209</v>
      </c>
      <c r="M36" s="73">
        <v>46036</v>
      </c>
      <c r="N36" s="74" t="s">
        <v>305</v>
      </c>
      <c r="O36" s="75" t="s">
        <v>209</v>
      </c>
      <c r="P36" s="73">
        <v>46036</v>
      </c>
      <c r="Q36" s="74" t="s">
        <v>306</v>
      </c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3.2" outlineLevel="1" spans="1:29">
      <c r="A37" s="76" t="s">
        <v>539</v>
      </c>
      <c r="B37" s="76" t="s">
        <v>545</v>
      </c>
      <c r="C37" s="76" t="s">
        <v>546</v>
      </c>
      <c r="D37" s="77" t="s">
        <v>522</v>
      </c>
      <c r="E37" s="77" t="s">
        <v>309</v>
      </c>
      <c r="F37" s="77" t="s">
        <v>310</v>
      </c>
      <c r="G37" s="70" t="s">
        <v>209</v>
      </c>
      <c r="H37" s="71"/>
      <c r="I37" s="71"/>
      <c r="J37" s="73">
        <v>46036</v>
      </c>
      <c r="K37" s="74" t="s">
        <v>305</v>
      </c>
      <c r="L37" s="75" t="s">
        <v>209</v>
      </c>
      <c r="M37" s="73">
        <v>46036</v>
      </c>
      <c r="N37" s="74" t="s">
        <v>305</v>
      </c>
      <c r="O37" s="75" t="s">
        <v>209</v>
      </c>
      <c r="P37" s="73">
        <v>46036</v>
      </c>
      <c r="Q37" s="74" t="s">
        <v>306</v>
      </c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2" outlineLevel="1" spans="1:29">
      <c r="A38" s="76" t="s">
        <v>547</v>
      </c>
      <c r="B38" s="76" t="s">
        <v>548</v>
      </c>
      <c r="C38" s="76" t="s">
        <v>549</v>
      </c>
      <c r="D38" s="77" t="s">
        <v>522</v>
      </c>
      <c r="E38" s="77" t="s">
        <v>550</v>
      </c>
      <c r="F38" s="77" t="s">
        <v>466</v>
      </c>
      <c r="G38" s="70" t="s">
        <v>209</v>
      </c>
      <c r="H38" s="71"/>
      <c r="I38" s="71"/>
      <c r="J38" s="73">
        <v>46036</v>
      </c>
      <c r="K38" s="74" t="s">
        <v>305</v>
      </c>
      <c r="L38" s="75" t="s">
        <v>209</v>
      </c>
      <c r="M38" s="73">
        <v>46036</v>
      </c>
      <c r="N38" s="74" t="s">
        <v>305</v>
      </c>
      <c r="O38" s="75" t="s">
        <v>209</v>
      </c>
      <c r="P38" s="73">
        <v>46036</v>
      </c>
      <c r="Q38" s="74" t="s">
        <v>306</v>
      </c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2" outlineLevel="1" spans="1:29">
      <c r="A39" s="76" t="s">
        <v>547</v>
      </c>
      <c r="B39" s="76" t="s">
        <v>551</v>
      </c>
      <c r="C39" s="76" t="s">
        <v>552</v>
      </c>
      <c r="D39" s="77" t="s">
        <v>526</v>
      </c>
      <c r="E39" s="77" t="s">
        <v>527</v>
      </c>
      <c r="F39" s="77" t="s">
        <v>466</v>
      </c>
      <c r="G39" s="70" t="s">
        <v>209</v>
      </c>
      <c r="H39" s="71"/>
      <c r="I39" s="71"/>
      <c r="J39" s="73">
        <v>46036</v>
      </c>
      <c r="K39" s="74" t="s">
        <v>305</v>
      </c>
      <c r="L39" s="75" t="s">
        <v>209</v>
      </c>
      <c r="M39" s="73">
        <v>46036</v>
      </c>
      <c r="N39" s="74" t="s">
        <v>305</v>
      </c>
      <c r="O39" s="75" t="s">
        <v>209</v>
      </c>
      <c r="P39" s="73">
        <v>46036</v>
      </c>
      <c r="Q39" s="74" t="s">
        <v>306</v>
      </c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2" outlineLevel="1" spans="1:29">
      <c r="A40" s="76" t="s">
        <v>547</v>
      </c>
      <c r="B40" s="76" t="s">
        <v>553</v>
      </c>
      <c r="C40" s="76" t="s">
        <v>554</v>
      </c>
      <c r="D40" s="77" t="s">
        <v>522</v>
      </c>
      <c r="E40" s="77" t="s">
        <v>309</v>
      </c>
      <c r="F40" s="77" t="s">
        <v>310</v>
      </c>
      <c r="G40" s="70" t="s">
        <v>209</v>
      </c>
      <c r="H40" s="71"/>
      <c r="I40" s="71"/>
      <c r="J40" s="73">
        <v>46036</v>
      </c>
      <c r="K40" s="74" t="s">
        <v>305</v>
      </c>
      <c r="L40" s="75" t="s">
        <v>209</v>
      </c>
      <c r="M40" s="73">
        <v>46036</v>
      </c>
      <c r="N40" s="74" t="s">
        <v>305</v>
      </c>
      <c r="O40" s="75" t="s">
        <v>209</v>
      </c>
      <c r="P40" s="73">
        <v>46036</v>
      </c>
      <c r="Q40" s="74" t="s">
        <v>306</v>
      </c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2" outlineLevel="1" spans="1:29">
      <c r="A41" s="76" t="s">
        <v>555</v>
      </c>
      <c r="B41" s="76" t="s">
        <v>556</v>
      </c>
      <c r="C41" s="76" t="s">
        <v>557</v>
      </c>
      <c r="D41" s="77" t="s">
        <v>522</v>
      </c>
      <c r="E41" s="77" t="s">
        <v>558</v>
      </c>
      <c r="F41" s="77" t="s">
        <v>466</v>
      </c>
      <c r="G41" s="70" t="s">
        <v>209</v>
      </c>
      <c r="H41" s="71"/>
      <c r="I41" s="71"/>
      <c r="J41" s="73">
        <v>46036</v>
      </c>
      <c r="K41" s="74" t="s">
        <v>305</v>
      </c>
      <c r="L41" s="75" t="s">
        <v>209</v>
      </c>
      <c r="M41" s="73">
        <v>46036</v>
      </c>
      <c r="N41" s="74" t="s">
        <v>305</v>
      </c>
      <c r="O41" s="75" t="s">
        <v>209</v>
      </c>
      <c r="P41" s="73">
        <v>46036</v>
      </c>
      <c r="Q41" s="74" t="s">
        <v>306</v>
      </c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2" outlineLevel="1" spans="1:29">
      <c r="A42" s="76" t="s">
        <v>555</v>
      </c>
      <c r="B42" s="76" t="s">
        <v>559</v>
      </c>
      <c r="C42" s="76" t="s">
        <v>560</v>
      </c>
      <c r="D42" s="77" t="s">
        <v>526</v>
      </c>
      <c r="E42" s="77" t="s">
        <v>527</v>
      </c>
      <c r="F42" s="77" t="s">
        <v>466</v>
      </c>
      <c r="G42" s="70" t="s">
        <v>209</v>
      </c>
      <c r="H42" s="71"/>
      <c r="I42" s="71"/>
      <c r="J42" s="73">
        <v>46036</v>
      </c>
      <c r="K42" s="74" t="s">
        <v>305</v>
      </c>
      <c r="L42" s="75" t="s">
        <v>209</v>
      </c>
      <c r="M42" s="73">
        <v>46036</v>
      </c>
      <c r="N42" s="74" t="s">
        <v>305</v>
      </c>
      <c r="O42" s="75" t="s">
        <v>209</v>
      </c>
      <c r="P42" s="73">
        <v>46036</v>
      </c>
      <c r="Q42" s="74" t="s">
        <v>306</v>
      </c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2" outlineLevel="1" spans="1:29">
      <c r="A43" s="76" t="s">
        <v>555</v>
      </c>
      <c r="B43" s="76" t="s">
        <v>561</v>
      </c>
      <c r="C43" s="76" t="s">
        <v>562</v>
      </c>
      <c r="D43" s="77" t="s">
        <v>522</v>
      </c>
      <c r="E43" s="77" t="s">
        <v>309</v>
      </c>
      <c r="F43" s="77" t="s">
        <v>310</v>
      </c>
      <c r="G43" s="70" t="s">
        <v>209</v>
      </c>
      <c r="H43" s="71"/>
      <c r="I43" s="71"/>
      <c r="J43" s="73">
        <v>46036</v>
      </c>
      <c r="K43" s="74" t="s">
        <v>305</v>
      </c>
      <c r="L43" s="75" t="s">
        <v>209</v>
      </c>
      <c r="M43" s="73">
        <v>46036</v>
      </c>
      <c r="N43" s="74" t="s">
        <v>305</v>
      </c>
      <c r="O43" s="75" t="s">
        <v>209</v>
      </c>
      <c r="P43" s="73">
        <v>46036</v>
      </c>
      <c r="Q43" s="74" t="s">
        <v>306</v>
      </c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2" outlineLevel="1" spans="1:29">
      <c r="A44" s="76" t="s">
        <v>563</v>
      </c>
      <c r="B44" s="76" t="s">
        <v>564</v>
      </c>
      <c r="C44" s="76" t="s">
        <v>565</v>
      </c>
      <c r="D44" s="77" t="s">
        <v>254</v>
      </c>
      <c r="E44" s="77" t="s">
        <v>566</v>
      </c>
      <c r="F44" s="77" t="s">
        <v>466</v>
      </c>
      <c r="G44" s="70" t="s">
        <v>209</v>
      </c>
      <c r="H44" s="71"/>
      <c r="I44" s="71"/>
      <c r="J44" s="73">
        <v>46036</v>
      </c>
      <c r="K44" s="74" t="s">
        <v>305</v>
      </c>
      <c r="L44" s="75" t="s">
        <v>209</v>
      </c>
      <c r="M44" s="73">
        <v>46036</v>
      </c>
      <c r="N44" s="74" t="s">
        <v>305</v>
      </c>
      <c r="O44" s="75" t="s">
        <v>209</v>
      </c>
      <c r="P44" s="73">
        <v>46036</v>
      </c>
      <c r="Q44" s="74" t="s">
        <v>306</v>
      </c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2" outlineLevel="1" spans="1:29">
      <c r="A45" s="76" t="s">
        <v>563</v>
      </c>
      <c r="B45" s="76" t="s">
        <v>567</v>
      </c>
      <c r="C45" s="76" t="s">
        <v>568</v>
      </c>
      <c r="D45" s="77" t="s">
        <v>254</v>
      </c>
      <c r="E45" s="77" t="s">
        <v>469</v>
      </c>
      <c r="F45" s="77" t="s">
        <v>304</v>
      </c>
      <c r="G45" s="70" t="s">
        <v>209</v>
      </c>
      <c r="H45" s="71"/>
      <c r="I45" s="71"/>
      <c r="J45" s="73">
        <v>46036</v>
      </c>
      <c r="K45" s="74" t="s">
        <v>305</v>
      </c>
      <c r="L45" s="75" t="s">
        <v>209</v>
      </c>
      <c r="M45" s="73">
        <v>46036</v>
      </c>
      <c r="N45" s="74" t="s">
        <v>305</v>
      </c>
      <c r="O45" s="75" t="s">
        <v>209</v>
      </c>
      <c r="P45" s="73">
        <v>46036</v>
      </c>
      <c r="Q45" s="74" t="s">
        <v>306</v>
      </c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2" outlineLevel="1" spans="1:29">
      <c r="A46" s="76" t="s">
        <v>563</v>
      </c>
      <c r="B46" s="76" t="s">
        <v>569</v>
      </c>
      <c r="C46" s="76" t="s">
        <v>570</v>
      </c>
      <c r="D46" s="77" t="s">
        <v>254</v>
      </c>
      <c r="E46" s="77" t="s">
        <v>309</v>
      </c>
      <c r="F46" s="77" t="s">
        <v>310</v>
      </c>
      <c r="G46" s="70" t="s">
        <v>209</v>
      </c>
      <c r="H46" s="71"/>
      <c r="I46" s="71"/>
      <c r="J46" s="73">
        <v>46036</v>
      </c>
      <c r="K46" s="74" t="s">
        <v>305</v>
      </c>
      <c r="L46" s="75" t="s">
        <v>209</v>
      </c>
      <c r="M46" s="73">
        <v>46036</v>
      </c>
      <c r="N46" s="74" t="s">
        <v>305</v>
      </c>
      <c r="O46" s="75" t="s">
        <v>209</v>
      </c>
      <c r="P46" s="73">
        <v>46036</v>
      </c>
      <c r="Q46" s="74" t="s">
        <v>306</v>
      </c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2" outlineLevel="1" spans="1:29">
      <c r="A47" s="76" t="s">
        <v>571</v>
      </c>
      <c r="B47" s="76" t="s">
        <v>572</v>
      </c>
      <c r="C47" s="76" t="s">
        <v>573</v>
      </c>
      <c r="D47" s="77" t="s">
        <v>254</v>
      </c>
      <c r="E47" s="77" t="s">
        <v>574</v>
      </c>
      <c r="F47" s="77" t="s">
        <v>304</v>
      </c>
      <c r="G47" s="70" t="s">
        <v>209</v>
      </c>
      <c r="H47" s="71"/>
      <c r="I47" s="71"/>
      <c r="J47" s="73">
        <v>46036</v>
      </c>
      <c r="K47" s="74" t="s">
        <v>305</v>
      </c>
      <c r="L47" s="75" t="s">
        <v>209</v>
      </c>
      <c r="M47" s="73">
        <v>46036</v>
      </c>
      <c r="N47" s="74" t="s">
        <v>305</v>
      </c>
      <c r="O47" s="75" t="s">
        <v>209</v>
      </c>
      <c r="P47" s="73">
        <v>46036</v>
      </c>
      <c r="Q47" s="74" t="s">
        <v>306</v>
      </c>
      <c r="R47" s="30"/>
      <c r="S47" s="43"/>
      <c r="T47" s="53"/>
      <c r="U47" s="43"/>
      <c r="V47" s="43"/>
      <c r="W47" s="43"/>
      <c r="X47" s="43"/>
      <c r="Y47" s="43"/>
      <c r="Z47" s="43"/>
      <c r="AA47" s="43"/>
      <c r="AB47" s="43"/>
      <c r="AC47" s="43"/>
    </row>
    <row r="48" ht="13.2" outlineLevel="1" spans="1:29">
      <c r="A48" s="76" t="s">
        <v>571</v>
      </c>
      <c r="B48" s="76" t="s">
        <v>575</v>
      </c>
      <c r="C48" s="76" t="s">
        <v>576</v>
      </c>
      <c r="D48" s="77" t="s">
        <v>254</v>
      </c>
      <c r="E48" s="77" t="s">
        <v>577</v>
      </c>
      <c r="F48" s="77" t="s">
        <v>310</v>
      </c>
      <c r="G48" s="70" t="s">
        <v>209</v>
      </c>
      <c r="H48" s="71"/>
      <c r="I48" s="71"/>
      <c r="J48" s="73">
        <v>46036</v>
      </c>
      <c r="K48" s="74" t="s">
        <v>305</v>
      </c>
      <c r="L48" s="75" t="s">
        <v>209</v>
      </c>
      <c r="M48" s="73">
        <v>46036</v>
      </c>
      <c r="N48" s="74" t="s">
        <v>305</v>
      </c>
      <c r="O48" s="75" t="s">
        <v>209</v>
      </c>
      <c r="P48" s="73">
        <v>46036</v>
      </c>
      <c r="Q48" s="74" t="s">
        <v>306</v>
      </c>
      <c r="R48" s="30"/>
      <c r="S48" s="43"/>
      <c r="T48" s="53"/>
      <c r="U48" s="43"/>
      <c r="V48" s="43"/>
      <c r="W48" s="43"/>
      <c r="X48" s="43"/>
      <c r="Y48" s="43"/>
      <c r="Z48" s="43"/>
      <c r="AA48" s="43"/>
      <c r="AB48" s="43"/>
      <c r="AC48" s="43"/>
    </row>
    <row r="49" ht="13.2" spans="1:29">
      <c r="A49" s="76" t="s">
        <v>571</v>
      </c>
      <c r="B49" s="76" t="s">
        <v>578</v>
      </c>
      <c r="C49" s="76" t="s">
        <v>579</v>
      </c>
      <c r="D49" s="77" t="s">
        <v>254</v>
      </c>
      <c r="E49" s="77" t="s">
        <v>577</v>
      </c>
      <c r="F49" s="77" t="s">
        <v>466</v>
      </c>
      <c r="G49" s="70" t="s">
        <v>209</v>
      </c>
      <c r="H49" s="71"/>
      <c r="I49" s="71"/>
      <c r="J49" s="73">
        <v>46036</v>
      </c>
      <c r="K49" s="74" t="s">
        <v>305</v>
      </c>
      <c r="L49" s="75" t="s">
        <v>209</v>
      </c>
      <c r="M49" s="73">
        <v>46036</v>
      </c>
      <c r="N49" s="74" t="s">
        <v>305</v>
      </c>
      <c r="O49" s="75" t="s">
        <v>209</v>
      </c>
      <c r="P49" s="73">
        <v>46036</v>
      </c>
      <c r="Q49" s="74" t="s">
        <v>306</v>
      </c>
      <c r="R49" s="30"/>
      <c r="S49" s="47"/>
      <c r="T49" s="51"/>
      <c r="U49" s="47"/>
      <c r="V49" s="47"/>
      <c r="W49" s="47"/>
      <c r="X49" s="47"/>
      <c r="Y49" s="47"/>
      <c r="Z49" s="47"/>
      <c r="AA49" s="47"/>
      <c r="AB49" s="47"/>
      <c r="AC49" s="47"/>
    </row>
    <row r="50" ht="13.2" spans="1:29">
      <c r="A50" s="76" t="s">
        <v>580</v>
      </c>
      <c r="B50" s="76" t="s">
        <v>581</v>
      </c>
      <c r="C50" s="76" t="s">
        <v>582</v>
      </c>
      <c r="D50" s="77" t="s">
        <v>583</v>
      </c>
      <c r="E50" s="77" t="s">
        <v>584</v>
      </c>
      <c r="F50" s="77" t="s">
        <v>304</v>
      </c>
      <c r="G50" s="70" t="s">
        <v>209</v>
      </c>
      <c r="H50" s="71"/>
      <c r="I50" s="71"/>
      <c r="J50" s="73">
        <v>46036</v>
      </c>
      <c r="K50" s="74" t="s">
        <v>305</v>
      </c>
      <c r="L50" s="75" t="s">
        <v>209</v>
      </c>
      <c r="M50" s="73">
        <v>46036</v>
      </c>
      <c r="N50" s="74" t="s">
        <v>305</v>
      </c>
      <c r="O50" s="75" t="s">
        <v>209</v>
      </c>
      <c r="P50" s="73">
        <v>46036</v>
      </c>
      <c r="Q50" s="74" t="s">
        <v>306</v>
      </c>
      <c r="R50" s="30"/>
      <c r="S50" s="54"/>
      <c r="T50" s="55"/>
      <c r="U50" s="54"/>
      <c r="V50" s="54"/>
      <c r="W50" s="54"/>
      <c r="X50" s="54"/>
      <c r="Y50" s="54"/>
      <c r="Z50" s="54"/>
      <c r="AA50" s="54"/>
      <c r="AB50" s="54"/>
      <c r="AC50" s="54"/>
    </row>
    <row r="51" ht="13.2" spans="1:29">
      <c r="A51" s="76" t="s">
        <v>580</v>
      </c>
      <c r="B51" s="76" t="s">
        <v>585</v>
      </c>
      <c r="C51" s="76" t="s">
        <v>586</v>
      </c>
      <c r="D51" s="77" t="s">
        <v>587</v>
      </c>
      <c r="E51" s="77" t="s">
        <v>480</v>
      </c>
      <c r="F51" s="77" t="s">
        <v>304</v>
      </c>
      <c r="G51" s="70" t="s">
        <v>209</v>
      </c>
      <c r="H51" s="71"/>
      <c r="I51" s="71"/>
      <c r="J51" s="73">
        <v>46036</v>
      </c>
      <c r="K51" s="74" t="s">
        <v>305</v>
      </c>
      <c r="L51" s="75" t="s">
        <v>209</v>
      </c>
      <c r="M51" s="73">
        <v>46036</v>
      </c>
      <c r="N51" s="74" t="s">
        <v>305</v>
      </c>
      <c r="O51" s="75" t="s">
        <v>209</v>
      </c>
      <c r="P51" s="73">
        <v>46036</v>
      </c>
      <c r="Q51" s="74" t="s">
        <v>306</v>
      </c>
      <c r="R51" s="30"/>
      <c r="S51" s="54"/>
      <c r="T51" s="55"/>
      <c r="U51" s="54"/>
      <c r="V51" s="54"/>
      <c r="W51" s="54"/>
      <c r="X51" s="54"/>
      <c r="Y51" s="54"/>
      <c r="Z51" s="54"/>
      <c r="AA51" s="54"/>
      <c r="AB51" s="54"/>
      <c r="AC51" s="54"/>
    </row>
    <row r="52" ht="13.2" outlineLevel="1" spans="1:29">
      <c r="A52" s="76" t="s">
        <v>580</v>
      </c>
      <c r="B52" s="76" t="s">
        <v>588</v>
      </c>
      <c r="C52" s="76" t="s">
        <v>482</v>
      </c>
      <c r="D52" s="77" t="s">
        <v>583</v>
      </c>
      <c r="E52" s="77" t="s">
        <v>589</v>
      </c>
      <c r="F52" s="77" t="s">
        <v>310</v>
      </c>
      <c r="G52" s="70" t="s">
        <v>209</v>
      </c>
      <c r="H52" s="71"/>
      <c r="I52" s="71"/>
      <c r="J52" s="73">
        <v>46036</v>
      </c>
      <c r="K52" s="74" t="s">
        <v>305</v>
      </c>
      <c r="L52" s="75" t="s">
        <v>209</v>
      </c>
      <c r="M52" s="73">
        <v>46036</v>
      </c>
      <c r="N52" s="74" t="s">
        <v>305</v>
      </c>
      <c r="O52" s="75" t="s">
        <v>209</v>
      </c>
      <c r="P52" s="73">
        <v>46036</v>
      </c>
      <c r="Q52" s="74" t="s">
        <v>306</v>
      </c>
      <c r="R52" s="30"/>
      <c r="S52" s="37"/>
      <c r="T52" s="56"/>
      <c r="U52" s="37"/>
      <c r="V52" s="37"/>
      <c r="W52" s="37"/>
      <c r="X52" s="37"/>
      <c r="Y52" s="37"/>
      <c r="Z52" s="37"/>
      <c r="AA52" s="37"/>
      <c r="AB52" s="37"/>
      <c r="AC52" s="37"/>
    </row>
    <row r="53" ht="13.2" outlineLevel="1" spans="1:29">
      <c r="A53" s="76" t="s">
        <v>590</v>
      </c>
      <c r="B53" s="76" t="s">
        <v>591</v>
      </c>
      <c r="C53" s="76" t="s">
        <v>592</v>
      </c>
      <c r="D53" s="77" t="s">
        <v>254</v>
      </c>
      <c r="E53" s="77" t="s">
        <v>593</v>
      </c>
      <c r="F53" s="77" t="s">
        <v>304</v>
      </c>
      <c r="G53" s="70" t="s">
        <v>209</v>
      </c>
      <c r="H53" s="71"/>
      <c r="I53" s="71"/>
      <c r="J53" s="73">
        <v>46036</v>
      </c>
      <c r="K53" s="74" t="s">
        <v>305</v>
      </c>
      <c r="L53" s="75" t="s">
        <v>209</v>
      </c>
      <c r="M53" s="73">
        <v>46036</v>
      </c>
      <c r="N53" s="74" t="s">
        <v>305</v>
      </c>
      <c r="O53" s="75" t="s">
        <v>209</v>
      </c>
      <c r="P53" s="73">
        <v>46036</v>
      </c>
      <c r="Q53" s="74" t="s">
        <v>306</v>
      </c>
      <c r="R53" s="30"/>
      <c r="S53" s="37"/>
      <c r="T53" s="56"/>
      <c r="U53" s="37"/>
      <c r="V53" s="37"/>
      <c r="W53" s="37"/>
      <c r="X53" s="37"/>
      <c r="Y53" s="37"/>
      <c r="Z53" s="37"/>
      <c r="AA53" s="37"/>
      <c r="AB53" s="37"/>
      <c r="AC53" s="37"/>
    </row>
    <row r="54" ht="64.5" customHeight="1" outlineLevel="1" spans="1:29">
      <c r="A54" s="76" t="s">
        <v>590</v>
      </c>
      <c r="B54" s="76" t="s">
        <v>594</v>
      </c>
      <c r="C54" s="76" t="s">
        <v>595</v>
      </c>
      <c r="D54" s="77" t="s">
        <v>254</v>
      </c>
      <c r="E54" s="77" t="s">
        <v>593</v>
      </c>
      <c r="F54" s="77" t="s">
        <v>466</v>
      </c>
      <c r="G54" s="70" t="s">
        <v>209</v>
      </c>
      <c r="H54" s="71"/>
      <c r="I54" s="71"/>
      <c r="J54" s="73">
        <v>46036</v>
      </c>
      <c r="K54" s="74" t="s">
        <v>305</v>
      </c>
      <c r="L54" s="75" t="s">
        <v>209</v>
      </c>
      <c r="M54" s="73">
        <v>46036</v>
      </c>
      <c r="N54" s="74" t="s">
        <v>305</v>
      </c>
      <c r="O54" s="75" t="s">
        <v>209</v>
      </c>
      <c r="P54" s="73">
        <v>46036</v>
      </c>
      <c r="Q54" s="74" t="s">
        <v>306</v>
      </c>
      <c r="R54" s="62"/>
      <c r="S54" s="37"/>
      <c r="T54" s="57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76" t="s">
        <v>590</v>
      </c>
      <c r="B55" s="76" t="s">
        <v>596</v>
      </c>
      <c r="C55" s="76" t="s">
        <v>597</v>
      </c>
      <c r="D55" s="77" t="s">
        <v>254</v>
      </c>
      <c r="E55" s="77" t="s">
        <v>309</v>
      </c>
      <c r="F55" s="77" t="s">
        <v>310</v>
      </c>
      <c r="G55" s="70" t="s">
        <v>209</v>
      </c>
      <c r="H55" s="71"/>
      <c r="I55" s="71"/>
      <c r="J55" s="73">
        <v>46036</v>
      </c>
      <c r="K55" s="74" t="s">
        <v>305</v>
      </c>
      <c r="L55" s="75" t="s">
        <v>209</v>
      </c>
      <c r="M55" s="73">
        <v>46036</v>
      </c>
      <c r="N55" s="74" t="s">
        <v>305</v>
      </c>
      <c r="O55" s="75" t="s">
        <v>209</v>
      </c>
      <c r="P55" s="73">
        <v>46036</v>
      </c>
      <c r="Q55" s="74" t="s">
        <v>306</v>
      </c>
      <c r="R55" s="67"/>
      <c r="S55" s="54"/>
      <c r="T55" s="55"/>
      <c r="U55" s="54"/>
      <c r="V55" s="54"/>
      <c r="W55" s="54"/>
      <c r="X55" s="54"/>
      <c r="Y55" s="54"/>
      <c r="Z55" s="54"/>
      <c r="AA55" s="54"/>
      <c r="AB55" s="54"/>
      <c r="AC55" s="54"/>
    </row>
    <row r="56" ht="64.5" customHeight="1" outlineLevel="1" spans="1:29">
      <c r="A56" s="76" t="s">
        <v>598</v>
      </c>
      <c r="B56" s="76" t="s">
        <v>599</v>
      </c>
      <c r="C56" s="76" t="s">
        <v>600</v>
      </c>
      <c r="D56" s="77" t="s">
        <v>254</v>
      </c>
      <c r="E56" s="77" t="s">
        <v>601</v>
      </c>
      <c r="F56" s="77" t="s">
        <v>304</v>
      </c>
      <c r="G56" s="70" t="s">
        <v>209</v>
      </c>
      <c r="H56" s="71"/>
      <c r="I56" s="71"/>
      <c r="J56" s="73">
        <v>46036</v>
      </c>
      <c r="K56" s="74" t="s">
        <v>305</v>
      </c>
      <c r="L56" s="75" t="s">
        <v>209</v>
      </c>
      <c r="M56" s="73">
        <v>46036</v>
      </c>
      <c r="N56" s="74" t="s">
        <v>305</v>
      </c>
      <c r="O56" s="75" t="s">
        <v>209</v>
      </c>
      <c r="P56" s="73">
        <v>46036</v>
      </c>
      <c r="Q56" s="74" t="s">
        <v>306</v>
      </c>
      <c r="R56" s="67"/>
      <c r="S56" s="37"/>
      <c r="T56" s="56"/>
      <c r="U56" s="37"/>
      <c r="V56" s="37"/>
      <c r="W56" s="37"/>
      <c r="X56" s="37"/>
      <c r="Y56" s="37"/>
      <c r="Z56" s="37"/>
      <c r="AA56" s="37"/>
      <c r="AB56" s="37"/>
      <c r="AC56" s="37"/>
    </row>
    <row r="57" ht="64.5" customHeight="1" outlineLevel="1" spans="1:29">
      <c r="A57" s="76" t="s">
        <v>598</v>
      </c>
      <c r="B57" s="76" t="s">
        <v>602</v>
      </c>
      <c r="C57" s="76" t="s">
        <v>603</v>
      </c>
      <c r="D57" s="77" t="s">
        <v>254</v>
      </c>
      <c r="E57" s="77" t="s">
        <v>577</v>
      </c>
      <c r="F57" s="77" t="s">
        <v>466</v>
      </c>
      <c r="G57" s="70" t="s">
        <v>209</v>
      </c>
      <c r="H57" s="71"/>
      <c r="I57" s="71"/>
      <c r="J57" s="73">
        <v>46036</v>
      </c>
      <c r="K57" s="74" t="s">
        <v>305</v>
      </c>
      <c r="L57" s="75" t="s">
        <v>209</v>
      </c>
      <c r="M57" s="73">
        <v>46036</v>
      </c>
      <c r="N57" s="74" t="s">
        <v>305</v>
      </c>
      <c r="O57" s="75" t="s">
        <v>209</v>
      </c>
      <c r="P57" s="73">
        <v>46036</v>
      </c>
      <c r="Q57" s="74" t="s">
        <v>306</v>
      </c>
      <c r="R57" s="67"/>
      <c r="S57" s="37"/>
      <c r="T57" s="56"/>
      <c r="U57" s="37"/>
      <c r="V57" s="37"/>
      <c r="W57" s="37"/>
      <c r="X57" s="37"/>
      <c r="Y57" s="37"/>
      <c r="Z57" s="37"/>
      <c r="AA57" s="37"/>
      <c r="AB57" s="37"/>
      <c r="AC57" s="37"/>
    </row>
    <row r="58" ht="64.5" customHeight="1" outlineLevel="1" spans="1:29">
      <c r="A58" s="76" t="s">
        <v>598</v>
      </c>
      <c r="B58" s="76" t="s">
        <v>604</v>
      </c>
      <c r="C58" s="76" t="s">
        <v>605</v>
      </c>
      <c r="D58" s="77" t="s">
        <v>254</v>
      </c>
      <c r="E58" s="77" t="s">
        <v>309</v>
      </c>
      <c r="F58" s="77" t="s">
        <v>310</v>
      </c>
      <c r="G58" s="70" t="s">
        <v>209</v>
      </c>
      <c r="H58" s="71"/>
      <c r="I58" s="71"/>
      <c r="J58" s="73">
        <v>46036</v>
      </c>
      <c r="K58" s="74" t="s">
        <v>305</v>
      </c>
      <c r="L58" s="75" t="s">
        <v>209</v>
      </c>
      <c r="M58" s="73">
        <v>46036</v>
      </c>
      <c r="N58" s="74" t="s">
        <v>305</v>
      </c>
      <c r="O58" s="75" t="s">
        <v>209</v>
      </c>
      <c r="P58" s="73">
        <v>46036</v>
      </c>
      <c r="Q58" s="74" t="s">
        <v>306</v>
      </c>
      <c r="R58" s="67"/>
      <c r="S58" s="37"/>
      <c r="T58" s="56"/>
      <c r="U58" s="37"/>
      <c r="V58" s="37"/>
      <c r="W58" s="37"/>
      <c r="X58" s="37"/>
      <c r="Y58" s="37"/>
      <c r="Z58" s="37"/>
      <c r="AA58" s="37"/>
      <c r="AB58" s="37"/>
      <c r="AC58" s="37"/>
    </row>
    <row r="59" ht="64.5" customHeight="1" outlineLevel="1" spans="1:29">
      <c r="A59" s="76" t="s">
        <v>606</v>
      </c>
      <c r="B59" s="76" t="s">
        <v>607</v>
      </c>
      <c r="C59" s="76" t="s">
        <v>608</v>
      </c>
      <c r="D59" s="77" t="s">
        <v>609</v>
      </c>
      <c r="E59" s="77" t="s">
        <v>593</v>
      </c>
      <c r="F59" s="77" t="s">
        <v>304</v>
      </c>
      <c r="G59" s="70" t="s">
        <v>209</v>
      </c>
      <c r="H59" s="71"/>
      <c r="I59" s="71"/>
      <c r="J59" s="73">
        <v>46036</v>
      </c>
      <c r="K59" s="74" t="s">
        <v>305</v>
      </c>
      <c r="L59" s="75" t="s">
        <v>209</v>
      </c>
      <c r="M59" s="73">
        <v>46036</v>
      </c>
      <c r="N59" s="74" t="s">
        <v>305</v>
      </c>
      <c r="O59" s="75" t="s">
        <v>209</v>
      </c>
      <c r="P59" s="73">
        <v>46036</v>
      </c>
      <c r="Q59" s="74" t="s">
        <v>306</v>
      </c>
      <c r="R59" s="67"/>
      <c r="S59" s="37"/>
      <c r="T59" s="56"/>
      <c r="U59" s="37"/>
      <c r="V59" s="37"/>
      <c r="W59" s="37"/>
      <c r="X59" s="37"/>
      <c r="Y59" s="37"/>
      <c r="Z59" s="37"/>
      <c r="AA59" s="37"/>
      <c r="AB59" s="37"/>
      <c r="AC59" s="37"/>
    </row>
    <row r="60" ht="64.5" customHeight="1" outlineLevel="1" spans="1:29">
      <c r="A60" s="76" t="s">
        <v>606</v>
      </c>
      <c r="B60" s="76" t="s">
        <v>610</v>
      </c>
      <c r="C60" s="76" t="s">
        <v>611</v>
      </c>
      <c r="D60" s="77" t="s">
        <v>612</v>
      </c>
      <c r="E60" s="77" t="s">
        <v>480</v>
      </c>
      <c r="F60" s="77" t="s">
        <v>304</v>
      </c>
      <c r="G60" s="70" t="s">
        <v>209</v>
      </c>
      <c r="H60" s="71"/>
      <c r="I60" s="71"/>
      <c r="J60" s="73">
        <v>46036</v>
      </c>
      <c r="K60" s="74" t="s">
        <v>305</v>
      </c>
      <c r="L60" s="75" t="s">
        <v>209</v>
      </c>
      <c r="M60" s="73">
        <v>46036</v>
      </c>
      <c r="N60" s="74" t="s">
        <v>305</v>
      </c>
      <c r="O60" s="75" t="s">
        <v>209</v>
      </c>
      <c r="P60" s="73">
        <v>46036</v>
      </c>
      <c r="Q60" s="74" t="s">
        <v>306</v>
      </c>
      <c r="R60" s="67"/>
      <c r="S60" s="37"/>
      <c r="T60" s="56"/>
      <c r="U60" s="37"/>
      <c r="V60" s="37"/>
      <c r="W60" s="37"/>
      <c r="X60" s="37"/>
      <c r="Y60" s="37"/>
      <c r="Z60" s="37"/>
      <c r="AA60" s="37"/>
      <c r="AB60" s="37"/>
      <c r="AC60" s="37"/>
    </row>
    <row r="61" ht="64.5" customHeight="1" outlineLevel="1" spans="1:29">
      <c r="A61" s="76" t="s">
        <v>606</v>
      </c>
      <c r="B61" s="76" t="s">
        <v>613</v>
      </c>
      <c r="C61" s="76" t="s">
        <v>614</v>
      </c>
      <c r="D61" s="77" t="s">
        <v>609</v>
      </c>
      <c r="E61" s="77" t="s">
        <v>309</v>
      </c>
      <c r="F61" s="77" t="s">
        <v>310</v>
      </c>
      <c r="G61" s="70" t="s">
        <v>209</v>
      </c>
      <c r="H61" s="71"/>
      <c r="I61" s="71"/>
      <c r="J61" s="73">
        <v>46036</v>
      </c>
      <c r="K61" s="74" t="s">
        <v>305</v>
      </c>
      <c r="L61" s="75" t="s">
        <v>209</v>
      </c>
      <c r="M61" s="73">
        <v>46036</v>
      </c>
      <c r="N61" s="74" t="s">
        <v>305</v>
      </c>
      <c r="O61" s="75" t="s">
        <v>209</v>
      </c>
      <c r="P61" s="73">
        <v>46036</v>
      </c>
      <c r="Q61" s="74" t="s">
        <v>306</v>
      </c>
      <c r="R61" s="67"/>
      <c r="S61" s="37"/>
      <c r="T61" s="56"/>
      <c r="U61" s="37"/>
      <c r="V61" s="37"/>
      <c r="W61" s="37"/>
      <c r="X61" s="37"/>
      <c r="Y61" s="37"/>
      <c r="Z61" s="37"/>
      <c r="AA61" s="37"/>
      <c r="AB61" s="37"/>
      <c r="AC61" s="37"/>
    </row>
    <row r="62" ht="64.5" customHeight="1" outlineLevel="1" spans="1:29">
      <c r="A62" s="76" t="s">
        <v>615</v>
      </c>
      <c r="B62" s="76" t="s">
        <v>616</v>
      </c>
      <c r="C62" s="76" t="s">
        <v>617</v>
      </c>
      <c r="D62" s="77" t="s">
        <v>618</v>
      </c>
      <c r="E62" s="77" t="s">
        <v>593</v>
      </c>
      <c r="F62" s="77" t="s">
        <v>304</v>
      </c>
      <c r="G62" s="70" t="s">
        <v>209</v>
      </c>
      <c r="H62" s="71"/>
      <c r="I62" s="71"/>
      <c r="J62" s="73">
        <v>46036</v>
      </c>
      <c r="K62" s="74" t="s">
        <v>305</v>
      </c>
      <c r="L62" s="75" t="s">
        <v>209</v>
      </c>
      <c r="M62" s="73">
        <v>46036</v>
      </c>
      <c r="N62" s="74" t="s">
        <v>305</v>
      </c>
      <c r="O62" s="75" t="s">
        <v>209</v>
      </c>
      <c r="P62" s="73">
        <v>46036</v>
      </c>
      <c r="Q62" s="74" t="s">
        <v>306</v>
      </c>
      <c r="R62" s="67"/>
      <c r="S62" s="37"/>
      <c r="T62" s="56"/>
      <c r="U62" s="37"/>
      <c r="V62" s="37"/>
      <c r="W62" s="37"/>
      <c r="X62" s="37"/>
      <c r="Y62" s="37"/>
      <c r="Z62" s="37"/>
      <c r="AA62" s="37"/>
      <c r="AB62" s="37"/>
      <c r="AC62" s="37"/>
    </row>
    <row r="63" ht="64.5" customHeight="1" outlineLevel="1" spans="1:29">
      <c r="A63" s="76" t="s">
        <v>615</v>
      </c>
      <c r="B63" s="76" t="s">
        <v>619</v>
      </c>
      <c r="C63" s="76" t="s">
        <v>620</v>
      </c>
      <c r="D63" s="77" t="s">
        <v>621</v>
      </c>
      <c r="E63" s="77" t="s">
        <v>593</v>
      </c>
      <c r="F63" s="77" t="s">
        <v>304</v>
      </c>
      <c r="G63" s="70" t="s">
        <v>209</v>
      </c>
      <c r="H63" s="71"/>
      <c r="I63" s="71"/>
      <c r="J63" s="73">
        <v>46036</v>
      </c>
      <c r="K63" s="74" t="s">
        <v>305</v>
      </c>
      <c r="L63" s="75" t="s">
        <v>209</v>
      </c>
      <c r="M63" s="73">
        <v>46036</v>
      </c>
      <c r="N63" s="74" t="s">
        <v>305</v>
      </c>
      <c r="O63" s="75" t="s">
        <v>209</v>
      </c>
      <c r="P63" s="73">
        <v>46036</v>
      </c>
      <c r="Q63" s="74" t="s">
        <v>306</v>
      </c>
      <c r="R63" s="67"/>
      <c r="S63" s="37"/>
      <c r="T63" s="56"/>
      <c r="U63" s="37"/>
      <c r="V63" s="37"/>
      <c r="W63" s="37"/>
      <c r="X63" s="37"/>
      <c r="Y63" s="37"/>
      <c r="Z63" s="37"/>
      <c r="AA63" s="37"/>
      <c r="AB63" s="37"/>
      <c r="AC63" s="37"/>
    </row>
    <row r="64" ht="64.5" customHeight="1" outlineLevel="1" spans="1:29">
      <c r="A64" s="76" t="s">
        <v>615</v>
      </c>
      <c r="B64" s="76" t="s">
        <v>622</v>
      </c>
      <c r="C64" s="76" t="s">
        <v>614</v>
      </c>
      <c r="D64" s="77" t="s">
        <v>623</v>
      </c>
      <c r="E64" s="77" t="s">
        <v>309</v>
      </c>
      <c r="F64" s="77" t="s">
        <v>310</v>
      </c>
      <c r="G64" s="70" t="s">
        <v>209</v>
      </c>
      <c r="H64" s="71"/>
      <c r="I64" s="71"/>
      <c r="J64" s="73">
        <v>46036</v>
      </c>
      <c r="K64" s="74" t="s">
        <v>305</v>
      </c>
      <c r="L64" s="75" t="s">
        <v>209</v>
      </c>
      <c r="M64" s="73">
        <v>46036</v>
      </c>
      <c r="N64" s="74" t="s">
        <v>305</v>
      </c>
      <c r="O64" s="75" t="s">
        <v>209</v>
      </c>
      <c r="P64" s="73">
        <v>46036</v>
      </c>
      <c r="Q64" s="74" t="s">
        <v>306</v>
      </c>
      <c r="R64" s="67"/>
      <c r="S64" s="37"/>
      <c r="T64" s="56"/>
      <c r="U64" s="37"/>
      <c r="V64" s="37"/>
      <c r="W64" s="37"/>
      <c r="X64" s="37"/>
      <c r="Y64" s="37"/>
      <c r="Z64" s="37"/>
      <c r="AA64" s="37"/>
      <c r="AB64" s="37"/>
      <c r="AC64" s="37"/>
    </row>
    <row r="65" ht="64.5" customHeight="1" outlineLevel="1" spans="1:29">
      <c r="A65" s="76" t="s">
        <v>624</v>
      </c>
      <c r="B65" s="76" t="s">
        <v>625</v>
      </c>
      <c r="C65" s="76" t="s">
        <v>626</v>
      </c>
      <c r="D65" s="77" t="s">
        <v>254</v>
      </c>
      <c r="E65" s="77" t="s">
        <v>627</v>
      </c>
      <c r="F65" s="77" t="s">
        <v>304</v>
      </c>
      <c r="G65" s="70" t="s">
        <v>209</v>
      </c>
      <c r="H65" s="71"/>
      <c r="I65" s="71"/>
      <c r="J65" s="73">
        <v>46036</v>
      </c>
      <c r="K65" s="74" t="s">
        <v>305</v>
      </c>
      <c r="L65" s="75" t="s">
        <v>209</v>
      </c>
      <c r="M65" s="73">
        <v>46036</v>
      </c>
      <c r="N65" s="74" t="s">
        <v>305</v>
      </c>
      <c r="O65" s="75" t="s">
        <v>209</v>
      </c>
      <c r="P65" s="73">
        <v>46036</v>
      </c>
      <c r="Q65" s="74" t="s">
        <v>306</v>
      </c>
      <c r="R65" s="67"/>
      <c r="S65" s="37"/>
      <c r="T65" s="56"/>
      <c r="U65" s="37"/>
      <c r="V65" s="37"/>
      <c r="W65" s="37"/>
      <c r="X65" s="37"/>
      <c r="Y65" s="37"/>
      <c r="Z65" s="37"/>
      <c r="AA65" s="37"/>
      <c r="AB65" s="37"/>
      <c r="AC65" s="37"/>
    </row>
    <row r="66" ht="64.5" customHeight="1" outlineLevel="1" spans="1:29">
      <c r="A66" s="76" t="s">
        <v>624</v>
      </c>
      <c r="B66" s="76" t="s">
        <v>628</v>
      </c>
      <c r="C66" s="76" t="s">
        <v>629</v>
      </c>
      <c r="D66" s="77" t="s">
        <v>254</v>
      </c>
      <c r="E66" s="77" t="s">
        <v>577</v>
      </c>
      <c r="F66" s="77" t="s">
        <v>466</v>
      </c>
      <c r="G66" s="70" t="s">
        <v>209</v>
      </c>
      <c r="H66" s="71"/>
      <c r="I66" s="71"/>
      <c r="J66" s="73">
        <v>46036</v>
      </c>
      <c r="K66" s="74" t="s">
        <v>305</v>
      </c>
      <c r="L66" s="75" t="s">
        <v>209</v>
      </c>
      <c r="M66" s="73">
        <v>46036</v>
      </c>
      <c r="N66" s="74" t="s">
        <v>305</v>
      </c>
      <c r="O66" s="75" t="s">
        <v>209</v>
      </c>
      <c r="P66" s="73">
        <v>46036</v>
      </c>
      <c r="Q66" s="74" t="s">
        <v>306</v>
      </c>
      <c r="R66" s="67"/>
      <c r="S66" s="37"/>
      <c r="T66" s="56"/>
      <c r="U66" s="37"/>
      <c r="V66" s="37"/>
      <c r="W66" s="37"/>
      <c r="X66" s="37"/>
      <c r="Y66" s="37"/>
      <c r="Z66" s="37"/>
      <c r="AA66" s="37"/>
      <c r="AB66" s="37"/>
      <c r="AC66" s="37"/>
    </row>
    <row r="67" ht="64.5" customHeight="1" outlineLevel="1" spans="1:29">
      <c r="A67" s="76" t="s">
        <v>624</v>
      </c>
      <c r="B67" s="76" t="s">
        <v>630</v>
      </c>
      <c r="C67" s="76" t="s">
        <v>631</v>
      </c>
      <c r="D67" s="77" t="s">
        <v>254</v>
      </c>
      <c r="E67" s="77" t="s">
        <v>309</v>
      </c>
      <c r="F67" s="77" t="s">
        <v>310</v>
      </c>
      <c r="G67" s="70" t="s">
        <v>209</v>
      </c>
      <c r="H67" s="71"/>
      <c r="I67" s="71"/>
      <c r="J67" s="73">
        <v>46036</v>
      </c>
      <c r="K67" s="74" t="s">
        <v>305</v>
      </c>
      <c r="L67" s="75" t="s">
        <v>209</v>
      </c>
      <c r="M67" s="73">
        <v>46036</v>
      </c>
      <c r="N67" s="74" t="s">
        <v>305</v>
      </c>
      <c r="O67" s="75" t="s">
        <v>209</v>
      </c>
      <c r="P67" s="73">
        <v>46036</v>
      </c>
      <c r="Q67" s="74" t="s">
        <v>306</v>
      </c>
      <c r="R67" s="67"/>
      <c r="S67" s="37"/>
      <c r="T67" s="56"/>
      <c r="U67" s="37"/>
      <c r="V67" s="37"/>
      <c r="W67" s="37"/>
      <c r="X67" s="37"/>
      <c r="Y67" s="37"/>
      <c r="Z67" s="37"/>
      <c r="AA67" s="37"/>
      <c r="AB67" s="37"/>
      <c r="AC67" s="37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37"/>
      <c r="C228" s="38"/>
      <c r="D228" s="39"/>
      <c r="E228" s="39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37"/>
      <c r="C229" s="38"/>
      <c r="D229" s="39"/>
      <c r="E229" s="39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37"/>
      <c r="C230" s="38"/>
      <c r="D230" s="39"/>
      <c r="E230" s="39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37"/>
      <c r="C231" s="38"/>
      <c r="D231" s="39"/>
      <c r="E231" s="39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37"/>
      <c r="C232" s="38"/>
      <c r="D232" s="39"/>
      <c r="E232" s="39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37"/>
      <c r="C233" s="38"/>
      <c r="D233" s="39"/>
      <c r="E233" s="39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37"/>
      <c r="C234" s="38"/>
      <c r="D234" s="39"/>
      <c r="E234" s="39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37"/>
      <c r="C235" s="38"/>
      <c r="D235" s="39"/>
      <c r="E235" s="39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37"/>
      <c r="C236" s="38"/>
      <c r="D236" s="39"/>
      <c r="E236" s="39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37"/>
      <c r="C237" s="38"/>
      <c r="D237" s="39"/>
      <c r="E237" s="39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37"/>
      <c r="C238" s="38"/>
      <c r="D238" s="39"/>
      <c r="E238" s="39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2.75" customHeight="1" spans="1:29">
      <c r="A252" s="37"/>
      <c r="B252" s="43"/>
      <c r="C252" s="58"/>
      <c r="D252" s="59"/>
      <c r="E252" s="59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2.75" customHeight="1" spans="1:29">
      <c r="A253" s="37"/>
      <c r="B253" s="43"/>
      <c r="C253" s="58"/>
      <c r="D253" s="59"/>
      <c r="E253" s="59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2.75" customHeight="1" spans="1:29">
      <c r="A254" s="37"/>
      <c r="B254" s="43"/>
      <c r="C254" s="58"/>
      <c r="D254" s="59"/>
      <c r="E254" s="59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4"/>
      <c r="U254" s="43"/>
      <c r="V254" s="43"/>
      <c r="W254" s="43"/>
      <c r="X254" s="43"/>
      <c r="Y254" s="43"/>
      <c r="Z254" s="43"/>
      <c r="AA254" s="43"/>
      <c r="AB254" s="43"/>
      <c r="AC254" s="43"/>
    </row>
    <row r="255" ht="12.75" customHeight="1" spans="1:29">
      <c r="A255" s="37"/>
      <c r="B255" s="43"/>
      <c r="C255" s="58"/>
      <c r="D255" s="59"/>
      <c r="E255" s="59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4"/>
      <c r="U255" s="43"/>
      <c r="V255" s="43"/>
      <c r="W255" s="43"/>
      <c r="X255" s="43"/>
      <c r="Y255" s="43"/>
      <c r="Z255" s="43"/>
      <c r="AA255" s="43"/>
      <c r="AB255" s="43"/>
      <c r="AC255" s="43"/>
    </row>
    <row r="256" ht="12.75" customHeight="1" spans="1:29">
      <c r="A256" s="37"/>
      <c r="B256" s="43"/>
      <c r="C256" s="58"/>
      <c r="D256" s="59"/>
      <c r="E256" s="59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4"/>
      <c r="U256" s="43"/>
      <c r="V256" s="43"/>
      <c r="W256" s="43"/>
      <c r="X256" s="43"/>
      <c r="Y256" s="43"/>
      <c r="Z256" s="43"/>
      <c r="AA256" s="43"/>
      <c r="AB256" s="43"/>
      <c r="AC256" s="43"/>
    </row>
    <row r="257" ht="12.75" customHeight="1" spans="1:29">
      <c r="A257" s="37"/>
      <c r="B257" s="43"/>
      <c r="C257" s="58"/>
      <c r="D257" s="59"/>
      <c r="E257" s="59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4"/>
      <c r="U257" s="43"/>
      <c r="V257" s="43"/>
      <c r="W257" s="43"/>
      <c r="X257" s="43"/>
      <c r="Y257" s="43"/>
      <c r="Z257" s="43"/>
      <c r="AA257" s="43"/>
      <c r="AB257" s="43"/>
      <c r="AC257" s="43"/>
    </row>
    <row r="258" ht="12.75" customHeight="1" spans="1:29">
      <c r="A258" s="37"/>
      <c r="B258" s="43"/>
      <c r="C258" s="58"/>
      <c r="D258" s="59"/>
      <c r="E258" s="59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4"/>
      <c r="U258" s="43"/>
      <c r="V258" s="43"/>
      <c r="W258" s="43"/>
      <c r="X258" s="43"/>
      <c r="Y258" s="43"/>
      <c r="Z258" s="43"/>
      <c r="AA258" s="43"/>
      <c r="AB258" s="43"/>
      <c r="AC258" s="43"/>
    </row>
    <row r="259" ht="12.75" customHeight="1" spans="1:29">
      <c r="A259" s="37"/>
      <c r="B259" s="43"/>
      <c r="C259" s="58"/>
      <c r="D259" s="59"/>
      <c r="E259" s="59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4"/>
      <c r="U259" s="43"/>
      <c r="V259" s="43"/>
      <c r="W259" s="43"/>
      <c r="X259" s="43"/>
      <c r="Y259" s="43"/>
      <c r="Z259" s="43"/>
      <c r="AA259" s="43"/>
      <c r="AB259" s="43"/>
      <c r="AC259" s="43"/>
    </row>
    <row r="260" ht="12.75" customHeight="1" spans="1:29">
      <c r="A260" s="37"/>
      <c r="B260" s="43"/>
      <c r="C260" s="58"/>
      <c r="D260" s="59"/>
      <c r="E260" s="59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4"/>
      <c r="U260" s="43"/>
      <c r="V260" s="43"/>
      <c r="W260" s="43"/>
      <c r="X260" s="43"/>
      <c r="Y260" s="43"/>
      <c r="Z260" s="43"/>
      <c r="AA260" s="43"/>
      <c r="AB260" s="43"/>
      <c r="AC260" s="43"/>
    </row>
    <row r="261" ht="12.75" customHeight="1" spans="1:29">
      <c r="A261" s="37"/>
      <c r="B261" s="43"/>
      <c r="C261" s="58"/>
      <c r="D261" s="59"/>
      <c r="E261" s="59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4"/>
      <c r="U261" s="43"/>
      <c r="V261" s="43"/>
      <c r="W261" s="43"/>
      <c r="X261" s="43"/>
      <c r="Y261" s="43"/>
      <c r="Z261" s="43"/>
      <c r="AA261" s="43"/>
      <c r="AB261" s="43"/>
      <c r="AC261" s="43"/>
    </row>
    <row r="262" ht="12.75" customHeight="1" spans="1:29">
      <c r="A262" s="37"/>
      <c r="B262" s="43"/>
      <c r="C262" s="58"/>
      <c r="D262" s="59"/>
      <c r="E262" s="59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4"/>
      <c r="U262" s="43"/>
      <c r="V262" s="43"/>
      <c r="W262" s="43"/>
      <c r="X262" s="43"/>
      <c r="Y262" s="43"/>
      <c r="Z262" s="43"/>
      <c r="AA262" s="43"/>
      <c r="AB262" s="43"/>
      <c r="AC262" s="4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11:G67 H2:H3 L11:L67 M2:M3 O11:O6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26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173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COUNTA(B11:B960)-COUNTIF($N11:$N960,"Skip")</f>
        <v>36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COUNTIF($G11:$G960,C5)</f>
        <v>36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COUNTIF($L11:$L960,C5)</f>
        <v>36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COUNTIF($O11:$O960,C5)</f>
        <v>36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13.2" spans="1:29">
      <c r="A11" s="68" t="s">
        <v>632</v>
      </c>
      <c r="B11" s="68" t="s">
        <v>633</v>
      </c>
      <c r="C11" s="68" t="s">
        <v>634</v>
      </c>
      <c r="D11" s="69" t="s">
        <v>254</v>
      </c>
      <c r="E11" s="69" t="s">
        <v>635</v>
      </c>
      <c r="F11" s="69" t="s">
        <v>466</v>
      </c>
      <c r="G11" s="70" t="s">
        <v>209</v>
      </c>
      <c r="H11" s="71"/>
      <c r="I11" s="71"/>
      <c r="J11" s="73">
        <v>46036</v>
      </c>
      <c r="K11" s="74" t="s">
        <v>305</v>
      </c>
      <c r="L11" s="75" t="s">
        <v>209</v>
      </c>
      <c r="M11" s="73">
        <v>46036</v>
      </c>
      <c r="N11" s="74" t="s">
        <v>305</v>
      </c>
      <c r="O11" s="75" t="s">
        <v>209</v>
      </c>
      <c r="P11" s="73">
        <v>46036</v>
      </c>
      <c r="Q11" s="74" t="s">
        <v>306</v>
      </c>
      <c r="R11" s="73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13.2" spans="1:29">
      <c r="A12" s="68" t="s">
        <v>632</v>
      </c>
      <c r="B12" s="68" t="s">
        <v>636</v>
      </c>
      <c r="C12" s="68" t="s">
        <v>637</v>
      </c>
      <c r="D12" s="69" t="s">
        <v>254</v>
      </c>
      <c r="E12" s="69" t="s">
        <v>469</v>
      </c>
      <c r="F12" s="69" t="s">
        <v>304</v>
      </c>
      <c r="G12" s="70" t="s">
        <v>209</v>
      </c>
      <c r="H12" s="71"/>
      <c r="I12" s="71"/>
      <c r="J12" s="73">
        <v>46036</v>
      </c>
      <c r="K12" s="74" t="s">
        <v>305</v>
      </c>
      <c r="L12" s="75" t="s">
        <v>209</v>
      </c>
      <c r="M12" s="73">
        <v>46036</v>
      </c>
      <c r="N12" s="74" t="s">
        <v>305</v>
      </c>
      <c r="O12" s="75" t="s">
        <v>209</v>
      </c>
      <c r="P12" s="73">
        <v>46036</v>
      </c>
      <c r="Q12" s="74" t="s">
        <v>306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13.2" spans="1:29">
      <c r="A13" s="68" t="s">
        <v>632</v>
      </c>
      <c r="B13" s="68" t="s">
        <v>638</v>
      </c>
      <c r="C13" s="68" t="s">
        <v>639</v>
      </c>
      <c r="D13" s="69" t="s">
        <v>254</v>
      </c>
      <c r="E13" s="69" t="s">
        <v>309</v>
      </c>
      <c r="F13" s="69" t="s">
        <v>310</v>
      </c>
      <c r="G13" s="70" t="s">
        <v>209</v>
      </c>
      <c r="H13" s="71"/>
      <c r="I13" s="71"/>
      <c r="J13" s="73">
        <v>46036</v>
      </c>
      <c r="K13" s="74" t="s">
        <v>305</v>
      </c>
      <c r="L13" s="75" t="s">
        <v>209</v>
      </c>
      <c r="M13" s="73">
        <v>46036</v>
      </c>
      <c r="N13" s="74" t="s">
        <v>305</v>
      </c>
      <c r="O13" s="75" t="s">
        <v>209</v>
      </c>
      <c r="P13" s="73">
        <v>46036</v>
      </c>
      <c r="Q13" s="74" t="s">
        <v>306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13.2" spans="1:29">
      <c r="A14" s="68" t="s">
        <v>640</v>
      </c>
      <c r="B14" s="68" t="s">
        <v>641</v>
      </c>
      <c r="C14" s="68" t="s">
        <v>642</v>
      </c>
      <c r="D14" s="69" t="s">
        <v>643</v>
      </c>
      <c r="E14" s="69" t="s">
        <v>644</v>
      </c>
      <c r="F14" s="69" t="s">
        <v>466</v>
      </c>
      <c r="G14" s="70" t="s">
        <v>209</v>
      </c>
      <c r="H14" s="71"/>
      <c r="I14" s="71"/>
      <c r="J14" s="73">
        <v>46036</v>
      </c>
      <c r="K14" s="74" t="s">
        <v>305</v>
      </c>
      <c r="L14" s="75" t="s">
        <v>209</v>
      </c>
      <c r="M14" s="73">
        <v>46036</v>
      </c>
      <c r="N14" s="74" t="s">
        <v>305</v>
      </c>
      <c r="O14" s="75" t="s">
        <v>209</v>
      </c>
      <c r="P14" s="73">
        <v>46036</v>
      </c>
      <c r="Q14" s="74" t="s">
        <v>306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13.2" spans="1:29">
      <c r="A15" s="68" t="s">
        <v>645</v>
      </c>
      <c r="B15" s="68" t="s">
        <v>646</v>
      </c>
      <c r="C15" s="68" t="s">
        <v>647</v>
      </c>
      <c r="D15" s="69" t="s">
        <v>648</v>
      </c>
      <c r="E15" s="69" t="s">
        <v>649</v>
      </c>
      <c r="F15" s="69" t="s">
        <v>466</v>
      </c>
      <c r="G15" s="70" t="s">
        <v>209</v>
      </c>
      <c r="H15" s="71"/>
      <c r="I15" s="71"/>
      <c r="J15" s="73">
        <v>46036</v>
      </c>
      <c r="K15" s="74" t="s">
        <v>305</v>
      </c>
      <c r="L15" s="75" t="s">
        <v>209</v>
      </c>
      <c r="M15" s="73">
        <v>46036</v>
      </c>
      <c r="N15" s="74" t="s">
        <v>305</v>
      </c>
      <c r="O15" s="75" t="s">
        <v>209</v>
      </c>
      <c r="P15" s="73">
        <v>46036</v>
      </c>
      <c r="Q15" s="74" t="s">
        <v>306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13.2" spans="1:29">
      <c r="A16" s="68" t="s">
        <v>645</v>
      </c>
      <c r="B16" s="68" t="s">
        <v>650</v>
      </c>
      <c r="C16" s="68" t="s">
        <v>651</v>
      </c>
      <c r="D16" s="69" t="s">
        <v>494</v>
      </c>
      <c r="E16" s="69" t="s">
        <v>309</v>
      </c>
      <c r="F16" s="69" t="s">
        <v>310</v>
      </c>
      <c r="G16" s="70" t="s">
        <v>209</v>
      </c>
      <c r="H16" s="71"/>
      <c r="I16" s="71"/>
      <c r="J16" s="73">
        <v>46036</v>
      </c>
      <c r="K16" s="74" t="s">
        <v>305</v>
      </c>
      <c r="L16" s="75" t="s">
        <v>209</v>
      </c>
      <c r="M16" s="73">
        <v>46036</v>
      </c>
      <c r="N16" s="74" t="s">
        <v>305</v>
      </c>
      <c r="O16" s="75" t="s">
        <v>209</v>
      </c>
      <c r="P16" s="73">
        <v>46036</v>
      </c>
      <c r="Q16" s="74" t="s">
        <v>306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13.2" spans="1:29">
      <c r="A17" s="68" t="s">
        <v>652</v>
      </c>
      <c r="B17" s="68" t="s">
        <v>653</v>
      </c>
      <c r="C17" s="68" t="s">
        <v>654</v>
      </c>
      <c r="D17" s="69" t="s">
        <v>655</v>
      </c>
      <c r="E17" s="69" t="s">
        <v>656</v>
      </c>
      <c r="F17" s="69" t="s">
        <v>466</v>
      </c>
      <c r="G17" s="70" t="s">
        <v>209</v>
      </c>
      <c r="H17" s="71"/>
      <c r="I17" s="71"/>
      <c r="J17" s="73">
        <v>46036</v>
      </c>
      <c r="K17" s="74" t="s">
        <v>305</v>
      </c>
      <c r="L17" s="75" t="s">
        <v>209</v>
      </c>
      <c r="M17" s="73">
        <v>46036</v>
      </c>
      <c r="N17" s="74" t="s">
        <v>305</v>
      </c>
      <c r="O17" s="75" t="s">
        <v>209</v>
      </c>
      <c r="P17" s="73">
        <v>46036</v>
      </c>
      <c r="Q17" s="74" t="s">
        <v>306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13.2" spans="1:29">
      <c r="A18" s="68" t="s">
        <v>652</v>
      </c>
      <c r="B18" s="68" t="s">
        <v>657</v>
      </c>
      <c r="C18" s="68" t="s">
        <v>658</v>
      </c>
      <c r="D18" s="69" t="s">
        <v>659</v>
      </c>
      <c r="E18" s="69" t="s">
        <v>660</v>
      </c>
      <c r="F18" s="69" t="s">
        <v>466</v>
      </c>
      <c r="G18" s="70" t="s">
        <v>209</v>
      </c>
      <c r="H18" s="71"/>
      <c r="I18" s="71"/>
      <c r="J18" s="73">
        <v>46036</v>
      </c>
      <c r="K18" s="74" t="s">
        <v>305</v>
      </c>
      <c r="L18" s="75" t="s">
        <v>209</v>
      </c>
      <c r="M18" s="73">
        <v>46036</v>
      </c>
      <c r="N18" s="74" t="s">
        <v>305</v>
      </c>
      <c r="O18" s="75" t="s">
        <v>209</v>
      </c>
      <c r="P18" s="73">
        <v>46036</v>
      </c>
      <c r="Q18" s="74" t="s">
        <v>306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13.2" spans="1:29">
      <c r="A19" s="68" t="s">
        <v>652</v>
      </c>
      <c r="B19" s="68" t="s">
        <v>661</v>
      </c>
      <c r="C19" s="68" t="s">
        <v>662</v>
      </c>
      <c r="D19" s="69" t="s">
        <v>663</v>
      </c>
      <c r="E19" s="69" t="s">
        <v>309</v>
      </c>
      <c r="F19" s="69" t="s">
        <v>310</v>
      </c>
      <c r="G19" s="70" t="s">
        <v>209</v>
      </c>
      <c r="H19" s="71"/>
      <c r="I19" s="71"/>
      <c r="J19" s="73">
        <v>46036</v>
      </c>
      <c r="K19" s="74" t="s">
        <v>305</v>
      </c>
      <c r="L19" s="75" t="s">
        <v>209</v>
      </c>
      <c r="M19" s="73">
        <v>46036</v>
      </c>
      <c r="N19" s="74" t="s">
        <v>305</v>
      </c>
      <c r="O19" s="75" t="s">
        <v>209</v>
      </c>
      <c r="P19" s="73">
        <v>46036</v>
      </c>
      <c r="Q19" s="74" t="s">
        <v>306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13.2" spans="1:29">
      <c r="A20" s="68" t="s">
        <v>664</v>
      </c>
      <c r="B20" s="68" t="s">
        <v>665</v>
      </c>
      <c r="C20" s="68" t="s">
        <v>666</v>
      </c>
      <c r="D20" s="69" t="s">
        <v>667</v>
      </c>
      <c r="E20" s="69" t="s">
        <v>668</v>
      </c>
      <c r="F20" s="69" t="s">
        <v>466</v>
      </c>
      <c r="G20" s="70" t="s">
        <v>209</v>
      </c>
      <c r="H20" s="71"/>
      <c r="I20" s="71"/>
      <c r="J20" s="73">
        <v>46036</v>
      </c>
      <c r="K20" s="74" t="s">
        <v>305</v>
      </c>
      <c r="L20" s="75" t="s">
        <v>209</v>
      </c>
      <c r="M20" s="73">
        <v>46036</v>
      </c>
      <c r="N20" s="74" t="s">
        <v>305</v>
      </c>
      <c r="O20" s="75" t="s">
        <v>209</v>
      </c>
      <c r="P20" s="73">
        <v>46036</v>
      </c>
      <c r="Q20" s="74" t="s">
        <v>306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13.2" spans="1:29">
      <c r="A21" s="68" t="s">
        <v>664</v>
      </c>
      <c r="B21" s="68" t="s">
        <v>669</v>
      </c>
      <c r="C21" s="68" t="s">
        <v>670</v>
      </c>
      <c r="D21" s="69" t="s">
        <v>671</v>
      </c>
      <c r="E21" s="69" t="s">
        <v>660</v>
      </c>
      <c r="F21" s="69" t="s">
        <v>466</v>
      </c>
      <c r="G21" s="70" t="s">
        <v>209</v>
      </c>
      <c r="H21" s="71"/>
      <c r="I21" s="71"/>
      <c r="J21" s="73">
        <v>46036</v>
      </c>
      <c r="K21" s="74" t="s">
        <v>305</v>
      </c>
      <c r="L21" s="75" t="s">
        <v>209</v>
      </c>
      <c r="M21" s="73">
        <v>46036</v>
      </c>
      <c r="N21" s="74" t="s">
        <v>305</v>
      </c>
      <c r="O21" s="75" t="s">
        <v>209</v>
      </c>
      <c r="P21" s="73">
        <v>46036</v>
      </c>
      <c r="Q21" s="74" t="s">
        <v>306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13.2" spans="1:29">
      <c r="A22" s="68" t="s">
        <v>664</v>
      </c>
      <c r="B22" s="68" t="s">
        <v>672</v>
      </c>
      <c r="C22" s="68" t="s">
        <v>673</v>
      </c>
      <c r="D22" s="69" t="s">
        <v>663</v>
      </c>
      <c r="E22" s="69" t="s">
        <v>309</v>
      </c>
      <c r="F22" s="69" t="s">
        <v>310</v>
      </c>
      <c r="G22" s="70" t="s">
        <v>209</v>
      </c>
      <c r="H22" s="71"/>
      <c r="I22" s="71"/>
      <c r="J22" s="73">
        <v>46036</v>
      </c>
      <c r="K22" s="74" t="s">
        <v>305</v>
      </c>
      <c r="L22" s="75" t="s">
        <v>209</v>
      </c>
      <c r="M22" s="73">
        <v>46036</v>
      </c>
      <c r="N22" s="74" t="s">
        <v>305</v>
      </c>
      <c r="O22" s="75" t="s">
        <v>209</v>
      </c>
      <c r="P22" s="73">
        <v>46036</v>
      </c>
      <c r="Q22" s="74" t="s">
        <v>306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13.2" spans="1:29">
      <c r="A23" s="68" t="s">
        <v>674</v>
      </c>
      <c r="B23" s="68" t="s">
        <v>675</v>
      </c>
      <c r="C23" s="68" t="s">
        <v>676</v>
      </c>
      <c r="D23" s="69" t="s">
        <v>254</v>
      </c>
      <c r="E23" s="69" t="s">
        <v>677</v>
      </c>
      <c r="F23" s="69" t="s">
        <v>304</v>
      </c>
      <c r="G23" s="70" t="s">
        <v>209</v>
      </c>
      <c r="H23" s="71"/>
      <c r="I23" s="71"/>
      <c r="J23" s="73">
        <v>46036</v>
      </c>
      <c r="K23" s="74" t="s">
        <v>305</v>
      </c>
      <c r="L23" s="75" t="s">
        <v>209</v>
      </c>
      <c r="M23" s="73">
        <v>46036</v>
      </c>
      <c r="N23" s="74" t="s">
        <v>305</v>
      </c>
      <c r="O23" s="75" t="s">
        <v>209</v>
      </c>
      <c r="P23" s="73">
        <v>46036</v>
      </c>
      <c r="Q23" s="74" t="s">
        <v>306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13.2" spans="1:29">
      <c r="A24" s="68" t="s">
        <v>674</v>
      </c>
      <c r="B24" s="68" t="s">
        <v>678</v>
      </c>
      <c r="C24" s="68" t="s">
        <v>679</v>
      </c>
      <c r="D24" s="69" t="s">
        <v>254</v>
      </c>
      <c r="E24" s="69" t="s">
        <v>577</v>
      </c>
      <c r="F24" s="69" t="s">
        <v>310</v>
      </c>
      <c r="G24" s="70" t="s">
        <v>209</v>
      </c>
      <c r="H24" s="71"/>
      <c r="I24" s="71"/>
      <c r="J24" s="73">
        <v>46036</v>
      </c>
      <c r="K24" s="74" t="s">
        <v>305</v>
      </c>
      <c r="L24" s="75" t="s">
        <v>209</v>
      </c>
      <c r="M24" s="73">
        <v>46036</v>
      </c>
      <c r="N24" s="74" t="s">
        <v>305</v>
      </c>
      <c r="O24" s="75" t="s">
        <v>209</v>
      </c>
      <c r="P24" s="73">
        <v>46036</v>
      </c>
      <c r="Q24" s="74" t="s">
        <v>306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13.2" spans="1:29">
      <c r="A25" s="68" t="s">
        <v>674</v>
      </c>
      <c r="B25" s="68" t="s">
        <v>680</v>
      </c>
      <c r="C25" s="68" t="s">
        <v>681</v>
      </c>
      <c r="D25" s="69" t="s">
        <v>254</v>
      </c>
      <c r="E25" s="69" t="s">
        <v>577</v>
      </c>
      <c r="F25" s="69" t="s">
        <v>466</v>
      </c>
      <c r="G25" s="70" t="s">
        <v>209</v>
      </c>
      <c r="H25" s="71"/>
      <c r="I25" s="71"/>
      <c r="J25" s="73">
        <v>46036</v>
      </c>
      <c r="K25" s="74" t="s">
        <v>305</v>
      </c>
      <c r="L25" s="75" t="s">
        <v>209</v>
      </c>
      <c r="M25" s="73">
        <v>46036</v>
      </c>
      <c r="N25" s="74" t="s">
        <v>305</v>
      </c>
      <c r="O25" s="75" t="s">
        <v>209</v>
      </c>
      <c r="P25" s="73">
        <v>46036</v>
      </c>
      <c r="Q25" s="74" t="s">
        <v>306</v>
      </c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13.2" outlineLevel="1" spans="1:29">
      <c r="A26" s="68" t="s">
        <v>682</v>
      </c>
      <c r="B26" s="68" t="s">
        <v>683</v>
      </c>
      <c r="C26" s="68" t="s">
        <v>684</v>
      </c>
      <c r="D26" s="69" t="s">
        <v>663</v>
      </c>
      <c r="E26" s="69" t="s">
        <v>685</v>
      </c>
      <c r="F26" s="69" t="s">
        <v>304</v>
      </c>
      <c r="G26" s="70" t="s">
        <v>209</v>
      </c>
      <c r="H26" s="71"/>
      <c r="I26" s="71"/>
      <c r="J26" s="73">
        <v>46036</v>
      </c>
      <c r="K26" s="74" t="s">
        <v>305</v>
      </c>
      <c r="L26" s="75" t="s">
        <v>209</v>
      </c>
      <c r="M26" s="73">
        <v>46036</v>
      </c>
      <c r="N26" s="74" t="s">
        <v>305</v>
      </c>
      <c r="O26" s="75" t="s">
        <v>209</v>
      </c>
      <c r="P26" s="73">
        <v>46036</v>
      </c>
      <c r="Q26" s="74" t="s">
        <v>306</v>
      </c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13.2" outlineLevel="1" spans="1:29">
      <c r="A27" s="68" t="s">
        <v>682</v>
      </c>
      <c r="B27" s="68" t="s">
        <v>686</v>
      </c>
      <c r="C27" s="68" t="s">
        <v>687</v>
      </c>
      <c r="D27" s="69" t="s">
        <v>671</v>
      </c>
      <c r="E27" s="69" t="s">
        <v>660</v>
      </c>
      <c r="F27" s="69" t="s">
        <v>304</v>
      </c>
      <c r="G27" s="70" t="s">
        <v>209</v>
      </c>
      <c r="H27" s="71"/>
      <c r="I27" s="71"/>
      <c r="J27" s="73">
        <v>46036</v>
      </c>
      <c r="K27" s="74" t="s">
        <v>305</v>
      </c>
      <c r="L27" s="75" t="s">
        <v>209</v>
      </c>
      <c r="M27" s="73">
        <v>46036</v>
      </c>
      <c r="N27" s="74" t="s">
        <v>305</v>
      </c>
      <c r="O27" s="75" t="s">
        <v>209</v>
      </c>
      <c r="P27" s="73">
        <v>46036</v>
      </c>
      <c r="Q27" s="74" t="s">
        <v>306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13.2" outlineLevel="1" spans="1:29">
      <c r="A28" s="68" t="s">
        <v>682</v>
      </c>
      <c r="B28" s="68" t="s">
        <v>688</v>
      </c>
      <c r="C28" s="68" t="s">
        <v>689</v>
      </c>
      <c r="D28" s="69" t="s">
        <v>663</v>
      </c>
      <c r="E28" s="69" t="s">
        <v>663</v>
      </c>
      <c r="F28" s="69" t="s">
        <v>310</v>
      </c>
      <c r="G28" s="70" t="s">
        <v>209</v>
      </c>
      <c r="H28" s="71"/>
      <c r="I28" s="71"/>
      <c r="J28" s="73">
        <v>46036</v>
      </c>
      <c r="K28" s="74" t="s">
        <v>305</v>
      </c>
      <c r="L28" s="75" t="s">
        <v>209</v>
      </c>
      <c r="M28" s="73">
        <v>46036</v>
      </c>
      <c r="N28" s="74" t="s">
        <v>305</v>
      </c>
      <c r="O28" s="75" t="s">
        <v>209</v>
      </c>
      <c r="P28" s="73">
        <v>46036</v>
      </c>
      <c r="Q28" s="74" t="s">
        <v>306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13.2" outlineLevel="1" spans="1:29">
      <c r="A29" s="68" t="s">
        <v>690</v>
      </c>
      <c r="B29" s="68" t="s">
        <v>691</v>
      </c>
      <c r="C29" s="68" t="s">
        <v>692</v>
      </c>
      <c r="D29" s="69" t="s">
        <v>693</v>
      </c>
      <c r="E29" s="69" t="s">
        <v>694</v>
      </c>
      <c r="F29" s="69" t="s">
        <v>304</v>
      </c>
      <c r="G29" s="70" t="s">
        <v>209</v>
      </c>
      <c r="H29" s="71"/>
      <c r="I29" s="71"/>
      <c r="J29" s="73">
        <v>46036</v>
      </c>
      <c r="K29" s="74" t="s">
        <v>305</v>
      </c>
      <c r="L29" s="75" t="s">
        <v>209</v>
      </c>
      <c r="M29" s="73">
        <v>46036</v>
      </c>
      <c r="N29" s="74" t="s">
        <v>305</v>
      </c>
      <c r="O29" s="75" t="s">
        <v>209</v>
      </c>
      <c r="P29" s="73">
        <v>46036</v>
      </c>
      <c r="Q29" s="74" t="s">
        <v>306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13.2" outlineLevel="1" spans="1:29">
      <c r="A30" s="68" t="s">
        <v>690</v>
      </c>
      <c r="B30" s="68" t="s">
        <v>695</v>
      </c>
      <c r="C30" s="68" t="s">
        <v>696</v>
      </c>
      <c r="D30" s="69" t="s">
        <v>697</v>
      </c>
      <c r="E30" s="69" t="s">
        <v>660</v>
      </c>
      <c r="F30" s="69" t="s">
        <v>304</v>
      </c>
      <c r="G30" s="70" t="s">
        <v>209</v>
      </c>
      <c r="H30" s="71"/>
      <c r="I30" s="71"/>
      <c r="J30" s="73">
        <v>46036</v>
      </c>
      <c r="K30" s="74" t="s">
        <v>305</v>
      </c>
      <c r="L30" s="75" t="s">
        <v>209</v>
      </c>
      <c r="M30" s="73">
        <v>46036</v>
      </c>
      <c r="N30" s="74" t="s">
        <v>305</v>
      </c>
      <c r="O30" s="75" t="s">
        <v>209</v>
      </c>
      <c r="P30" s="73">
        <v>46036</v>
      </c>
      <c r="Q30" s="74" t="s">
        <v>306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13.2" outlineLevel="1" spans="1:29">
      <c r="A31" s="68" t="s">
        <v>690</v>
      </c>
      <c r="B31" s="68" t="s">
        <v>698</v>
      </c>
      <c r="C31" s="68" t="s">
        <v>699</v>
      </c>
      <c r="D31" s="69" t="s">
        <v>700</v>
      </c>
      <c r="E31" s="69" t="s">
        <v>309</v>
      </c>
      <c r="F31" s="69" t="s">
        <v>310</v>
      </c>
      <c r="G31" s="70" t="s">
        <v>209</v>
      </c>
      <c r="H31" s="71"/>
      <c r="I31" s="71"/>
      <c r="J31" s="73">
        <v>46036</v>
      </c>
      <c r="K31" s="74" t="s">
        <v>305</v>
      </c>
      <c r="L31" s="75" t="s">
        <v>209</v>
      </c>
      <c r="M31" s="73">
        <v>46036</v>
      </c>
      <c r="N31" s="74" t="s">
        <v>305</v>
      </c>
      <c r="O31" s="75" t="s">
        <v>209</v>
      </c>
      <c r="P31" s="73">
        <v>46036</v>
      </c>
      <c r="Q31" s="74" t="s">
        <v>306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13.2" outlineLevel="1" spans="1:29">
      <c r="A32" s="68" t="s">
        <v>701</v>
      </c>
      <c r="B32" s="68" t="s">
        <v>702</v>
      </c>
      <c r="C32" s="68" t="s">
        <v>703</v>
      </c>
      <c r="D32" s="69" t="s">
        <v>704</v>
      </c>
      <c r="E32" s="69" t="s">
        <v>705</v>
      </c>
      <c r="F32" s="69" t="s">
        <v>304</v>
      </c>
      <c r="G32" s="70" t="s">
        <v>209</v>
      </c>
      <c r="H32" s="71"/>
      <c r="I32" s="71"/>
      <c r="J32" s="73">
        <v>46036</v>
      </c>
      <c r="K32" s="74" t="s">
        <v>305</v>
      </c>
      <c r="L32" s="75" t="s">
        <v>209</v>
      </c>
      <c r="M32" s="73">
        <v>46036</v>
      </c>
      <c r="N32" s="74" t="s">
        <v>305</v>
      </c>
      <c r="O32" s="75" t="s">
        <v>209</v>
      </c>
      <c r="P32" s="73">
        <v>46036</v>
      </c>
      <c r="Q32" s="74" t="s">
        <v>306</v>
      </c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3.2" outlineLevel="1" spans="1:29">
      <c r="A33" s="68" t="s">
        <v>701</v>
      </c>
      <c r="B33" s="68" t="s">
        <v>706</v>
      </c>
      <c r="C33" s="68" t="s">
        <v>707</v>
      </c>
      <c r="D33" s="69" t="s">
        <v>708</v>
      </c>
      <c r="E33" s="69" t="s">
        <v>709</v>
      </c>
      <c r="F33" s="69" t="s">
        <v>304</v>
      </c>
      <c r="G33" s="70" t="s">
        <v>209</v>
      </c>
      <c r="H33" s="71"/>
      <c r="I33" s="71"/>
      <c r="J33" s="73">
        <v>46036</v>
      </c>
      <c r="K33" s="74" t="s">
        <v>305</v>
      </c>
      <c r="L33" s="75" t="s">
        <v>209</v>
      </c>
      <c r="M33" s="73">
        <v>46036</v>
      </c>
      <c r="N33" s="74" t="s">
        <v>305</v>
      </c>
      <c r="O33" s="75" t="s">
        <v>209</v>
      </c>
      <c r="P33" s="73">
        <v>46036</v>
      </c>
      <c r="Q33" s="74" t="s">
        <v>306</v>
      </c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3.2" outlineLevel="1" spans="1:29">
      <c r="A34" s="68" t="s">
        <v>701</v>
      </c>
      <c r="B34" s="68" t="s">
        <v>710</v>
      </c>
      <c r="C34" s="68" t="s">
        <v>711</v>
      </c>
      <c r="D34" s="69" t="s">
        <v>704</v>
      </c>
      <c r="E34" s="69" t="s">
        <v>309</v>
      </c>
      <c r="F34" s="69" t="s">
        <v>310</v>
      </c>
      <c r="G34" s="70" t="s">
        <v>209</v>
      </c>
      <c r="H34" s="71"/>
      <c r="I34" s="71"/>
      <c r="J34" s="73">
        <v>46036</v>
      </c>
      <c r="K34" s="74" t="s">
        <v>305</v>
      </c>
      <c r="L34" s="75" t="s">
        <v>209</v>
      </c>
      <c r="M34" s="73">
        <v>46036</v>
      </c>
      <c r="N34" s="74" t="s">
        <v>305</v>
      </c>
      <c r="O34" s="75" t="s">
        <v>209</v>
      </c>
      <c r="P34" s="73">
        <v>46036</v>
      </c>
      <c r="Q34" s="74" t="s">
        <v>306</v>
      </c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3.2" outlineLevel="1" spans="1:29">
      <c r="A35" s="68" t="s">
        <v>712</v>
      </c>
      <c r="B35" s="68" t="s">
        <v>713</v>
      </c>
      <c r="C35" s="68" t="s">
        <v>714</v>
      </c>
      <c r="D35" s="69" t="s">
        <v>704</v>
      </c>
      <c r="E35" s="69" t="s">
        <v>715</v>
      </c>
      <c r="F35" s="69" t="s">
        <v>304</v>
      </c>
      <c r="G35" s="70" t="s">
        <v>209</v>
      </c>
      <c r="H35" s="71"/>
      <c r="I35" s="71"/>
      <c r="J35" s="73">
        <v>46036</v>
      </c>
      <c r="K35" s="74" t="s">
        <v>305</v>
      </c>
      <c r="L35" s="75" t="s">
        <v>209</v>
      </c>
      <c r="M35" s="73">
        <v>46036</v>
      </c>
      <c r="N35" s="74" t="s">
        <v>305</v>
      </c>
      <c r="O35" s="75" t="s">
        <v>209</v>
      </c>
      <c r="P35" s="73">
        <v>46036</v>
      </c>
      <c r="Q35" s="74" t="s">
        <v>306</v>
      </c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3.2" outlineLevel="1" spans="1:29">
      <c r="A36" s="68" t="s">
        <v>712</v>
      </c>
      <c r="B36" s="68" t="s">
        <v>716</v>
      </c>
      <c r="C36" s="68" t="s">
        <v>717</v>
      </c>
      <c r="D36" s="69" t="s">
        <v>708</v>
      </c>
      <c r="E36" s="69" t="s">
        <v>709</v>
      </c>
      <c r="F36" s="69" t="s">
        <v>304</v>
      </c>
      <c r="G36" s="70" t="s">
        <v>209</v>
      </c>
      <c r="H36" s="71"/>
      <c r="I36" s="71"/>
      <c r="J36" s="73">
        <v>46036</v>
      </c>
      <c r="K36" s="74" t="s">
        <v>305</v>
      </c>
      <c r="L36" s="75" t="s">
        <v>209</v>
      </c>
      <c r="M36" s="73">
        <v>46036</v>
      </c>
      <c r="N36" s="74" t="s">
        <v>305</v>
      </c>
      <c r="O36" s="75" t="s">
        <v>209</v>
      </c>
      <c r="P36" s="73">
        <v>46036</v>
      </c>
      <c r="Q36" s="74" t="s">
        <v>306</v>
      </c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3.2" outlineLevel="1" spans="1:29">
      <c r="A37" s="68" t="s">
        <v>712</v>
      </c>
      <c r="B37" s="68" t="s">
        <v>718</v>
      </c>
      <c r="C37" s="68" t="s">
        <v>719</v>
      </c>
      <c r="D37" s="69" t="s">
        <v>704</v>
      </c>
      <c r="E37" s="69" t="s">
        <v>309</v>
      </c>
      <c r="F37" s="69" t="s">
        <v>310</v>
      </c>
      <c r="G37" s="70" t="s">
        <v>209</v>
      </c>
      <c r="H37" s="71"/>
      <c r="I37" s="71"/>
      <c r="J37" s="73">
        <v>46036</v>
      </c>
      <c r="K37" s="74" t="s">
        <v>305</v>
      </c>
      <c r="L37" s="75" t="s">
        <v>209</v>
      </c>
      <c r="M37" s="73">
        <v>46036</v>
      </c>
      <c r="N37" s="74" t="s">
        <v>305</v>
      </c>
      <c r="O37" s="75" t="s">
        <v>209</v>
      </c>
      <c r="P37" s="73">
        <v>46036</v>
      </c>
      <c r="Q37" s="74" t="s">
        <v>306</v>
      </c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2" outlineLevel="1" spans="1:29">
      <c r="A38" s="68" t="s">
        <v>720</v>
      </c>
      <c r="B38" s="68" t="s">
        <v>721</v>
      </c>
      <c r="C38" s="68" t="s">
        <v>722</v>
      </c>
      <c r="D38" s="69" t="s">
        <v>663</v>
      </c>
      <c r="E38" s="69" t="s">
        <v>723</v>
      </c>
      <c r="F38" s="69" t="s">
        <v>304</v>
      </c>
      <c r="G38" s="70" t="s">
        <v>209</v>
      </c>
      <c r="H38" s="71"/>
      <c r="I38" s="71"/>
      <c r="J38" s="73">
        <v>46036</v>
      </c>
      <c r="K38" s="74" t="s">
        <v>305</v>
      </c>
      <c r="L38" s="75" t="s">
        <v>209</v>
      </c>
      <c r="M38" s="73">
        <v>46036</v>
      </c>
      <c r="N38" s="74" t="s">
        <v>305</v>
      </c>
      <c r="O38" s="75" t="s">
        <v>209</v>
      </c>
      <c r="P38" s="73">
        <v>46036</v>
      </c>
      <c r="Q38" s="74" t="s">
        <v>306</v>
      </c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2" outlineLevel="1" spans="1:29">
      <c r="A39" s="68" t="s">
        <v>720</v>
      </c>
      <c r="B39" s="68" t="s">
        <v>724</v>
      </c>
      <c r="C39" s="68" t="s">
        <v>725</v>
      </c>
      <c r="D39" s="69" t="s">
        <v>663</v>
      </c>
      <c r="E39" s="69" t="s">
        <v>577</v>
      </c>
      <c r="F39" s="69" t="s">
        <v>310</v>
      </c>
      <c r="G39" s="70" t="s">
        <v>209</v>
      </c>
      <c r="H39" s="71"/>
      <c r="I39" s="71"/>
      <c r="J39" s="73">
        <v>46036</v>
      </c>
      <c r="K39" s="74" t="s">
        <v>305</v>
      </c>
      <c r="L39" s="75" t="s">
        <v>209</v>
      </c>
      <c r="M39" s="73">
        <v>46036</v>
      </c>
      <c r="N39" s="74" t="s">
        <v>305</v>
      </c>
      <c r="O39" s="75" t="s">
        <v>209</v>
      </c>
      <c r="P39" s="73">
        <v>46036</v>
      </c>
      <c r="Q39" s="74" t="s">
        <v>306</v>
      </c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2" outlineLevel="1" spans="1:29">
      <c r="A40" s="68" t="s">
        <v>720</v>
      </c>
      <c r="B40" s="68" t="s">
        <v>726</v>
      </c>
      <c r="C40" s="68" t="s">
        <v>727</v>
      </c>
      <c r="D40" s="69" t="s">
        <v>671</v>
      </c>
      <c r="E40" s="69" t="s">
        <v>342</v>
      </c>
      <c r="F40" s="69" t="s">
        <v>304</v>
      </c>
      <c r="G40" s="70" t="s">
        <v>209</v>
      </c>
      <c r="H40" s="71"/>
      <c r="I40" s="71"/>
      <c r="J40" s="73">
        <v>46036</v>
      </c>
      <c r="K40" s="74" t="s">
        <v>305</v>
      </c>
      <c r="L40" s="75" t="s">
        <v>209</v>
      </c>
      <c r="M40" s="73">
        <v>46036</v>
      </c>
      <c r="N40" s="74" t="s">
        <v>305</v>
      </c>
      <c r="O40" s="75" t="s">
        <v>209</v>
      </c>
      <c r="P40" s="73">
        <v>46036</v>
      </c>
      <c r="Q40" s="74" t="s">
        <v>306</v>
      </c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2" outlineLevel="1" spans="1:29">
      <c r="A41" s="68" t="s">
        <v>728</v>
      </c>
      <c r="B41" s="68" t="s">
        <v>729</v>
      </c>
      <c r="C41" s="68" t="s">
        <v>730</v>
      </c>
      <c r="D41" s="69" t="s">
        <v>731</v>
      </c>
      <c r="E41" s="69" t="s">
        <v>732</v>
      </c>
      <c r="F41" s="69" t="s">
        <v>304</v>
      </c>
      <c r="G41" s="70" t="s">
        <v>209</v>
      </c>
      <c r="H41" s="71"/>
      <c r="I41" s="71"/>
      <c r="J41" s="73">
        <v>46036</v>
      </c>
      <c r="K41" s="74" t="s">
        <v>305</v>
      </c>
      <c r="L41" s="75" t="s">
        <v>209</v>
      </c>
      <c r="M41" s="73">
        <v>46036</v>
      </c>
      <c r="N41" s="74" t="s">
        <v>305</v>
      </c>
      <c r="O41" s="75" t="s">
        <v>209</v>
      </c>
      <c r="P41" s="73">
        <v>46036</v>
      </c>
      <c r="Q41" s="74" t="s">
        <v>306</v>
      </c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2" outlineLevel="1" spans="1:29">
      <c r="A42" s="68" t="s">
        <v>728</v>
      </c>
      <c r="B42" s="68" t="s">
        <v>733</v>
      </c>
      <c r="C42" s="68" t="s">
        <v>734</v>
      </c>
      <c r="D42" s="69" t="s">
        <v>254</v>
      </c>
      <c r="E42" s="69" t="s">
        <v>735</v>
      </c>
      <c r="F42" s="69" t="s">
        <v>304</v>
      </c>
      <c r="G42" s="70" t="s">
        <v>209</v>
      </c>
      <c r="H42" s="71"/>
      <c r="I42" s="71"/>
      <c r="J42" s="73">
        <v>46036</v>
      </c>
      <c r="K42" s="74" t="s">
        <v>305</v>
      </c>
      <c r="L42" s="75" t="s">
        <v>209</v>
      </c>
      <c r="M42" s="73">
        <v>46036</v>
      </c>
      <c r="N42" s="74" t="s">
        <v>305</v>
      </c>
      <c r="O42" s="75" t="s">
        <v>209</v>
      </c>
      <c r="P42" s="73">
        <v>46036</v>
      </c>
      <c r="Q42" s="74" t="s">
        <v>306</v>
      </c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2" outlineLevel="1" spans="1:29">
      <c r="A43" s="68" t="s">
        <v>728</v>
      </c>
      <c r="B43" s="68" t="s">
        <v>736</v>
      </c>
      <c r="C43" s="68" t="s">
        <v>737</v>
      </c>
      <c r="D43" s="69" t="s">
        <v>738</v>
      </c>
      <c r="E43" s="69" t="s">
        <v>309</v>
      </c>
      <c r="F43" s="69" t="s">
        <v>310</v>
      </c>
      <c r="G43" s="70" t="s">
        <v>209</v>
      </c>
      <c r="H43" s="71"/>
      <c r="I43" s="71"/>
      <c r="J43" s="73">
        <v>46036</v>
      </c>
      <c r="K43" s="74" t="s">
        <v>305</v>
      </c>
      <c r="L43" s="75" t="s">
        <v>209</v>
      </c>
      <c r="M43" s="73">
        <v>46036</v>
      </c>
      <c r="N43" s="74" t="s">
        <v>305</v>
      </c>
      <c r="O43" s="75" t="s">
        <v>209</v>
      </c>
      <c r="P43" s="73">
        <v>46036</v>
      </c>
      <c r="Q43" s="74" t="s">
        <v>306</v>
      </c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2" outlineLevel="1" spans="1:29">
      <c r="A44" s="68" t="s">
        <v>739</v>
      </c>
      <c r="B44" s="68" t="s">
        <v>740</v>
      </c>
      <c r="C44" s="68" t="s">
        <v>741</v>
      </c>
      <c r="D44" s="69" t="s">
        <v>742</v>
      </c>
      <c r="E44" s="69" t="s">
        <v>743</v>
      </c>
      <c r="F44" s="69" t="s">
        <v>466</v>
      </c>
      <c r="G44" s="70" t="s">
        <v>209</v>
      </c>
      <c r="H44" s="71"/>
      <c r="I44" s="71"/>
      <c r="J44" s="73">
        <v>46036</v>
      </c>
      <c r="K44" s="74" t="s">
        <v>305</v>
      </c>
      <c r="L44" s="75" t="s">
        <v>209</v>
      </c>
      <c r="M44" s="73">
        <v>46036</v>
      </c>
      <c r="N44" s="74" t="s">
        <v>305</v>
      </c>
      <c r="O44" s="75" t="s">
        <v>209</v>
      </c>
      <c r="P44" s="73">
        <v>46036</v>
      </c>
      <c r="Q44" s="74" t="s">
        <v>306</v>
      </c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2" outlineLevel="1" spans="1:29">
      <c r="A45" s="68" t="s">
        <v>739</v>
      </c>
      <c r="B45" s="68" t="s">
        <v>744</v>
      </c>
      <c r="C45" s="68" t="s">
        <v>734</v>
      </c>
      <c r="D45" s="69" t="s">
        <v>254</v>
      </c>
      <c r="E45" s="69" t="s">
        <v>735</v>
      </c>
      <c r="F45" s="69" t="s">
        <v>466</v>
      </c>
      <c r="G45" s="70" t="s">
        <v>209</v>
      </c>
      <c r="H45" s="71"/>
      <c r="I45" s="71"/>
      <c r="J45" s="73">
        <v>46036</v>
      </c>
      <c r="K45" s="74" t="s">
        <v>305</v>
      </c>
      <c r="L45" s="75" t="s">
        <v>209</v>
      </c>
      <c r="M45" s="73">
        <v>46036</v>
      </c>
      <c r="N45" s="74" t="s">
        <v>305</v>
      </c>
      <c r="O45" s="75" t="s">
        <v>209</v>
      </c>
      <c r="P45" s="73">
        <v>46036</v>
      </c>
      <c r="Q45" s="74" t="s">
        <v>306</v>
      </c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2" outlineLevel="1" spans="1:29">
      <c r="A46" s="68" t="s">
        <v>739</v>
      </c>
      <c r="B46" s="68" t="s">
        <v>745</v>
      </c>
      <c r="C46" s="68" t="s">
        <v>737</v>
      </c>
      <c r="D46" s="69" t="s">
        <v>746</v>
      </c>
      <c r="E46" s="69" t="s">
        <v>309</v>
      </c>
      <c r="F46" s="69" t="s">
        <v>310</v>
      </c>
      <c r="G46" s="70" t="s">
        <v>209</v>
      </c>
      <c r="H46" s="71"/>
      <c r="I46" s="71"/>
      <c r="J46" s="73">
        <v>46036</v>
      </c>
      <c r="K46" s="74" t="s">
        <v>305</v>
      </c>
      <c r="L46" s="75" t="s">
        <v>209</v>
      </c>
      <c r="M46" s="73">
        <v>46036</v>
      </c>
      <c r="N46" s="74" t="s">
        <v>305</v>
      </c>
      <c r="O46" s="75" t="s">
        <v>209</v>
      </c>
      <c r="P46" s="73">
        <v>46036</v>
      </c>
      <c r="Q46" s="74" t="s">
        <v>306</v>
      </c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2" outlineLevel="1" spans="1:29">
      <c r="A47" s="68"/>
      <c r="B47" s="68"/>
      <c r="C47" s="68"/>
      <c r="D47" s="72"/>
      <c r="E47" s="72"/>
      <c r="F47" s="72"/>
      <c r="G47" s="70"/>
      <c r="H47" s="71"/>
      <c r="I47" s="71"/>
      <c r="J47" s="73"/>
      <c r="K47" s="74"/>
      <c r="L47" s="75"/>
      <c r="M47" s="73"/>
      <c r="N47" s="74"/>
      <c r="O47" s="75"/>
      <c r="P47" s="73"/>
      <c r="Q47" s="74"/>
      <c r="R47" s="30"/>
      <c r="S47" s="43"/>
      <c r="T47" s="53"/>
      <c r="U47" s="43"/>
      <c r="V47" s="43"/>
      <c r="W47" s="43"/>
      <c r="X47" s="43"/>
      <c r="Y47" s="43"/>
      <c r="Z47" s="43"/>
      <c r="AA47" s="43"/>
      <c r="AB47" s="43"/>
      <c r="AC47" s="43"/>
    </row>
    <row r="48" ht="13.2" outlineLevel="1" spans="1:29">
      <c r="A48" s="68"/>
      <c r="B48" s="68"/>
      <c r="C48" s="68"/>
      <c r="D48" s="72"/>
      <c r="E48" s="72"/>
      <c r="F48" s="72"/>
      <c r="G48" s="70"/>
      <c r="H48" s="71"/>
      <c r="I48" s="71"/>
      <c r="J48" s="73"/>
      <c r="K48" s="74"/>
      <c r="L48" s="75"/>
      <c r="M48" s="73"/>
      <c r="N48" s="74"/>
      <c r="O48" s="75"/>
      <c r="P48" s="73"/>
      <c r="Q48" s="74"/>
      <c r="R48" s="30"/>
      <c r="S48" s="43"/>
      <c r="T48" s="53"/>
      <c r="U48" s="43"/>
      <c r="V48" s="43"/>
      <c r="W48" s="43"/>
      <c r="X48" s="43"/>
      <c r="Y48" s="43"/>
      <c r="Z48" s="43"/>
      <c r="AA48" s="43"/>
      <c r="AB48" s="43"/>
      <c r="AC48" s="43"/>
    </row>
    <row r="49" ht="13.2" spans="1:29">
      <c r="A49" s="68"/>
      <c r="B49" s="68"/>
      <c r="C49" s="68"/>
      <c r="D49" s="72"/>
      <c r="E49" s="72"/>
      <c r="F49" s="72"/>
      <c r="G49" s="70"/>
      <c r="H49" s="71"/>
      <c r="I49" s="71"/>
      <c r="J49" s="73"/>
      <c r="K49" s="74"/>
      <c r="L49" s="75"/>
      <c r="M49" s="73"/>
      <c r="N49" s="74"/>
      <c r="O49" s="75"/>
      <c r="P49" s="73"/>
      <c r="Q49" s="74"/>
      <c r="R49" s="30"/>
      <c r="S49" s="47"/>
      <c r="T49" s="51"/>
      <c r="U49" s="47"/>
      <c r="V49" s="47"/>
      <c r="W49" s="47"/>
      <c r="X49" s="47"/>
      <c r="Y49" s="47"/>
      <c r="Z49" s="47"/>
      <c r="AA49" s="47"/>
      <c r="AB49" s="47"/>
      <c r="AC49" s="47"/>
    </row>
    <row r="50" ht="13.2" spans="1:29">
      <c r="A50" s="68"/>
      <c r="B50" s="68"/>
      <c r="C50" s="68"/>
      <c r="D50" s="72"/>
      <c r="E50" s="72"/>
      <c r="F50" s="72"/>
      <c r="G50" s="70"/>
      <c r="H50" s="71"/>
      <c r="I50" s="71"/>
      <c r="J50" s="73"/>
      <c r="K50" s="74"/>
      <c r="L50" s="75"/>
      <c r="M50" s="73"/>
      <c r="N50" s="74"/>
      <c r="O50" s="75"/>
      <c r="P50" s="73"/>
      <c r="Q50" s="74"/>
      <c r="R50" s="30"/>
      <c r="S50" s="54"/>
      <c r="T50" s="55"/>
      <c r="U50" s="54"/>
      <c r="V50" s="54"/>
      <c r="W50" s="54"/>
      <c r="X50" s="54"/>
      <c r="Y50" s="54"/>
      <c r="Z50" s="54"/>
      <c r="AA50" s="54"/>
      <c r="AB50" s="54"/>
      <c r="AC50" s="54"/>
    </row>
    <row r="51" ht="13.2" spans="1:29">
      <c r="A51" s="68"/>
      <c r="B51" s="68"/>
      <c r="C51" s="68"/>
      <c r="D51" s="72"/>
      <c r="E51" s="72"/>
      <c r="F51" s="72"/>
      <c r="G51" s="70"/>
      <c r="H51" s="71"/>
      <c r="I51" s="71"/>
      <c r="J51" s="73"/>
      <c r="K51" s="74"/>
      <c r="L51" s="75"/>
      <c r="M51" s="73"/>
      <c r="N51" s="74"/>
      <c r="O51" s="75"/>
      <c r="P51" s="73"/>
      <c r="Q51" s="74"/>
      <c r="R51" s="30"/>
      <c r="S51" s="54"/>
      <c r="T51" s="55"/>
      <c r="U51" s="54"/>
      <c r="V51" s="54"/>
      <c r="W51" s="54"/>
      <c r="X51" s="54"/>
      <c r="Y51" s="54"/>
      <c r="Z51" s="54"/>
      <c r="AA51" s="54"/>
      <c r="AB51" s="54"/>
      <c r="AC51" s="54"/>
    </row>
    <row r="52" ht="13.2" outlineLevel="1" spans="1:29">
      <c r="A52" s="68"/>
      <c r="B52" s="68"/>
      <c r="C52" s="68"/>
      <c r="D52" s="72"/>
      <c r="E52" s="72"/>
      <c r="F52" s="72"/>
      <c r="G52" s="70"/>
      <c r="H52" s="71"/>
      <c r="I52" s="71"/>
      <c r="J52" s="73"/>
      <c r="K52" s="74"/>
      <c r="L52" s="75"/>
      <c r="M52" s="73"/>
      <c r="N52" s="74"/>
      <c r="O52" s="75"/>
      <c r="P52" s="73"/>
      <c r="Q52" s="74"/>
      <c r="R52" s="30"/>
      <c r="S52" s="37"/>
      <c r="T52" s="56"/>
      <c r="U52" s="37"/>
      <c r="V52" s="37"/>
      <c r="W52" s="37"/>
      <c r="X52" s="37"/>
      <c r="Y52" s="37"/>
      <c r="Z52" s="37"/>
      <c r="AA52" s="37"/>
      <c r="AB52" s="37"/>
      <c r="AC52" s="37"/>
    </row>
    <row r="53" ht="13.2" outlineLevel="1" spans="1:29">
      <c r="A53" s="68"/>
      <c r="B53" s="68"/>
      <c r="C53" s="68"/>
      <c r="D53" s="72"/>
      <c r="E53" s="72"/>
      <c r="F53" s="72"/>
      <c r="G53" s="70"/>
      <c r="H53" s="71"/>
      <c r="I53" s="71"/>
      <c r="J53" s="73"/>
      <c r="K53" s="74"/>
      <c r="L53" s="75"/>
      <c r="M53" s="73"/>
      <c r="N53" s="74"/>
      <c r="O53" s="75"/>
      <c r="P53" s="73"/>
      <c r="Q53" s="74"/>
      <c r="R53" s="30"/>
      <c r="S53" s="37"/>
      <c r="T53" s="56"/>
      <c r="U53" s="37"/>
      <c r="V53" s="37"/>
      <c r="W53" s="37"/>
      <c r="X53" s="37"/>
      <c r="Y53" s="37"/>
      <c r="Z53" s="37"/>
      <c r="AA53" s="37"/>
      <c r="AB53" s="37"/>
      <c r="AC53" s="37"/>
    </row>
    <row r="54" ht="64.5" customHeight="1" outlineLevel="1" spans="1:29">
      <c r="A54" s="62"/>
      <c r="B54" s="62"/>
      <c r="C54" s="62"/>
      <c r="D54" s="63"/>
      <c r="E54" s="63"/>
      <c r="F54" s="62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62"/>
      <c r="S54" s="37"/>
      <c r="T54" s="57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62"/>
      <c r="B55" s="62"/>
      <c r="C55" s="62"/>
      <c r="D55" s="63"/>
      <c r="E55" s="63"/>
      <c r="F55" s="62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67"/>
      <c r="S55" s="54"/>
      <c r="T55" s="55"/>
      <c r="U55" s="54"/>
      <c r="V55" s="54"/>
      <c r="W55" s="54"/>
      <c r="X55" s="54"/>
      <c r="Y55" s="54"/>
      <c r="Z55" s="54"/>
      <c r="AA55" s="54"/>
      <c r="AB55" s="54"/>
      <c r="AC55" s="54"/>
    </row>
    <row r="56" ht="64.5" customHeight="1" outlineLevel="1" spans="1:29">
      <c r="A56" s="62"/>
      <c r="B56" s="62"/>
      <c r="C56" s="62"/>
      <c r="D56" s="63"/>
      <c r="E56" s="63"/>
      <c r="F56" s="62"/>
      <c r="G56" s="1"/>
      <c r="H56" s="64"/>
      <c r="I56" s="64"/>
      <c r="J56" s="1"/>
      <c r="K56" s="1"/>
      <c r="L56" s="1"/>
      <c r="M56" s="1"/>
      <c r="N56" s="1"/>
      <c r="O56" s="1"/>
      <c r="P56" s="1"/>
      <c r="Q56" s="1"/>
      <c r="R56" s="67"/>
      <c r="S56" s="37"/>
      <c r="T56" s="56"/>
      <c r="U56" s="37"/>
      <c r="V56" s="37"/>
      <c r="W56" s="37"/>
      <c r="X56" s="37"/>
      <c r="Y56" s="37"/>
      <c r="Z56" s="37"/>
      <c r="AA56" s="37"/>
      <c r="AB56" s="37"/>
      <c r="AC56" s="37"/>
    </row>
    <row r="57" ht="64.5" customHeight="1" spans="1:29">
      <c r="A57" s="62"/>
      <c r="B57" s="62"/>
      <c r="C57" s="62"/>
      <c r="D57" s="65"/>
      <c r="E57" s="65"/>
      <c r="F57" s="66"/>
      <c r="G57" s="1"/>
      <c r="H57" s="64"/>
      <c r="I57" s="64"/>
      <c r="J57" s="1"/>
      <c r="K57" s="1"/>
      <c r="L57" s="1"/>
      <c r="M57" s="1"/>
      <c r="N57" s="1"/>
      <c r="O57" s="1"/>
      <c r="P57" s="1"/>
      <c r="Q57" s="1"/>
      <c r="R57" s="66"/>
      <c r="S57" s="37"/>
      <c r="T57" s="57"/>
      <c r="U57" s="37"/>
      <c r="V57" s="37"/>
      <c r="W57" s="37"/>
      <c r="X57" s="37"/>
      <c r="Y57" s="37"/>
      <c r="Z57" s="37"/>
      <c r="AA57" s="37"/>
      <c r="AB57" s="37"/>
      <c r="AC57" s="37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37"/>
      <c r="C228" s="38"/>
      <c r="D228" s="39"/>
      <c r="E228" s="39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37"/>
      <c r="C229" s="38"/>
      <c r="D229" s="39"/>
      <c r="E229" s="39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2.75" customHeight="1" spans="1:29">
      <c r="A252" s="37"/>
      <c r="B252" s="43"/>
      <c r="C252" s="58"/>
      <c r="D252" s="59"/>
      <c r="E252" s="59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2.75" customHeight="1" spans="1:29">
      <c r="A253" s="37"/>
      <c r="B253" s="43"/>
      <c r="C253" s="58"/>
      <c r="D253" s="59"/>
      <c r="E253" s="59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7:H57 G11:G56 H2:H3 L11:L57 M2:M3 O11:O5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26"/>
  <sheetViews>
    <sheetView workbookViewId="0">
      <pane ySplit="10" topLeftCell="A11" activePane="bottomLeft" state="frozen"/>
      <selection/>
      <selection pane="bottomLeft" activeCell="A1" sqref="A1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166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COUNTA(B11:B960)-COUNTIF($N11:$N960,"Skip")</f>
        <v>18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COUNTIF($G11:$G960,C5)</f>
        <v>18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COUNTIF($L11:$L960,C5)</f>
        <v>18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COUNTIF($O11:$O960,C5)</f>
        <v>18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13.2" spans="1:29">
      <c r="A11" s="68" t="s">
        <v>747</v>
      </c>
      <c r="B11" s="68" t="s">
        <v>233</v>
      </c>
      <c r="C11" s="68" t="s">
        <v>748</v>
      </c>
      <c r="D11" s="69" t="s">
        <v>254</v>
      </c>
      <c r="E11" s="69" t="s">
        <v>749</v>
      </c>
      <c r="F11" s="69" t="s">
        <v>466</v>
      </c>
      <c r="G11" s="70" t="s">
        <v>209</v>
      </c>
      <c r="H11" s="71"/>
      <c r="I11" s="71"/>
      <c r="J11" s="73">
        <v>46036</v>
      </c>
      <c r="K11" s="74" t="s">
        <v>306</v>
      </c>
      <c r="L11" s="75" t="s">
        <v>209</v>
      </c>
      <c r="M11" s="73">
        <v>46036</v>
      </c>
      <c r="N11" s="74" t="s">
        <v>306</v>
      </c>
      <c r="O11" s="75" t="s">
        <v>209</v>
      </c>
      <c r="P11" s="73">
        <v>46036</v>
      </c>
      <c r="Q11" s="74" t="s">
        <v>306</v>
      </c>
      <c r="R11" s="73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13.2" spans="1:29">
      <c r="A12" s="68" t="s">
        <v>747</v>
      </c>
      <c r="B12" s="68" t="s">
        <v>238</v>
      </c>
      <c r="C12" s="68" t="s">
        <v>750</v>
      </c>
      <c r="D12" s="69" t="s">
        <v>254</v>
      </c>
      <c r="E12" s="69" t="s">
        <v>469</v>
      </c>
      <c r="F12" s="69" t="s">
        <v>304</v>
      </c>
      <c r="G12" s="70" t="s">
        <v>209</v>
      </c>
      <c r="H12" s="71"/>
      <c r="I12" s="71"/>
      <c r="J12" s="73">
        <v>46036</v>
      </c>
      <c r="K12" s="74" t="s">
        <v>306</v>
      </c>
      <c r="L12" s="75" t="s">
        <v>209</v>
      </c>
      <c r="M12" s="73">
        <v>46036</v>
      </c>
      <c r="N12" s="74" t="s">
        <v>306</v>
      </c>
      <c r="O12" s="75" t="s">
        <v>209</v>
      </c>
      <c r="P12" s="73">
        <v>46036</v>
      </c>
      <c r="Q12" s="74" t="s">
        <v>306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13.2" spans="1:29">
      <c r="A13" s="68" t="s">
        <v>747</v>
      </c>
      <c r="B13" s="68" t="s">
        <v>242</v>
      </c>
      <c r="C13" s="68" t="s">
        <v>751</v>
      </c>
      <c r="D13" s="69" t="s">
        <v>254</v>
      </c>
      <c r="E13" s="69" t="s">
        <v>309</v>
      </c>
      <c r="F13" s="69" t="s">
        <v>310</v>
      </c>
      <c r="G13" s="70" t="s">
        <v>209</v>
      </c>
      <c r="H13" s="71"/>
      <c r="I13" s="71"/>
      <c r="J13" s="73">
        <v>46036</v>
      </c>
      <c r="K13" s="74" t="s">
        <v>306</v>
      </c>
      <c r="L13" s="75" t="s">
        <v>209</v>
      </c>
      <c r="M13" s="73">
        <v>46036</v>
      </c>
      <c r="N13" s="74" t="s">
        <v>306</v>
      </c>
      <c r="O13" s="75" t="s">
        <v>209</v>
      </c>
      <c r="P13" s="73">
        <v>46036</v>
      </c>
      <c r="Q13" s="74" t="s">
        <v>306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13.2" spans="1:29">
      <c r="A14" s="68" t="s">
        <v>752</v>
      </c>
      <c r="B14" s="68" t="s">
        <v>259</v>
      </c>
      <c r="C14" s="68" t="s">
        <v>753</v>
      </c>
      <c r="D14" s="69" t="s">
        <v>754</v>
      </c>
      <c r="E14" s="69" t="s">
        <v>755</v>
      </c>
      <c r="F14" s="69" t="s">
        <v>466</v>
      </c>
      <c r="G14" s="70" t="s">
        <v>209</v>
      </c>
      <c r="H14" s="71"/>
      <c r="I14" s="71"/>
      <c r="J14" s="73">
        <v>46036</v>
      </c>
      <c r="K14" s="74" t="s">
        <v>306</v>
      </c>
      <c r="L14" s="75" t="s">
        <v>209</v>
      </c>
      <c r="M14" s="73">
        <v>46036</v>
      </c>
      <c r="N14" s="74" t="s">
        <v>306</v>
      </c>
      <c r="O14" s="75" t="s">
        <v>209</v>
      </c>
      <c r="P14" s="73">
        <v>46036</v>
      </c>
      <c r="Q14" s="74" t="s">
        <v>306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13.2" spans="1:29">
      <c r="A15" s="68" t="s">
        <v>756</v>
      </c>
      <c r="B15" s="68" t="s">
        <v>263</v>
      </c>
      <c r="C15" s="68" t="s">
        <v>757</v>
      </c>
      <c r="D15" s="69" t="s">
        <v>758</v>
      </c>
      <c r="E15" s="69" t="s">
        <v>759</v>
      </c>
      <c r="F15" s="69" t="s">
        <v>466</v>
      </c>
      <c r="G15" s="70" t="s">
        <v>209</v>
      </c>
      <c r="H15" s="71"/>
      <c r="I15" s="71"/>
      <c r="J15" s="73">
        <v>46036</v>
      </c>
      <c r="K15" s="74" t="s">
        <v>306</v>
      </c>
      <c r="L15" s="75" t="s">
        <v>209</v>
      </c>
      <c r="M15" s="73">
        <v>46036</v>
      </c>
      <c r="N15" s="74" t="s">
        <v>306</v>
      </c>
      <c r="O15" s="75" t="s">
        <v>209</v>
      </c>
      <c r="P15" s="73">
        <v>46036</v>
      </c>
      <c r="Q15" s="74" t="s">
        <v>306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13.2" spans="1:29">
      <c r="A16" s="68" t="s">
        <v>756</v>
      </c>
      <c r="B16" s="68" t="s">
        <v>267</v>
      </c>
      <c r="C16" s="68" t="s">
        <v>760</v>
      </c>
      <c r="D16" s="69" t="s">
        <v>754</v>
      </c>
      <c r="E16" s="69" t="s">
        <v>309</v>
      </c>
      <c r="F16" s="69" t="s">
        <v>310</v>
      </c>
      <c r="G16" s="70" t="s">
        <v>209</v>
      </c>
      <c r="H16" s="71"/>
      <c r="I16" s="71"/>
      <c r="J16" s="73">
        <v>46036</v>
      </c>
      <c r="K16" s="74" t="s">
        <v>306</v>
      </c>
      <c r="L16" s="75" t="s">
        <v>209</v>
      </c>
      <c r="M16" s="73">
        <v>46036</v>
      </c>
      <c r="N16" s="74" t="s">
        <v>306</v>
      </c>
      <c r="O16" s="75" t="s">
        <v>209</v>
      </c>
      <c r="P16" s="73">
        <v>46036</v>
      </c>
      <c r="Q16" s="74" t="s">
        <v>306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13.2" spans="1:29">
      <c r="A17" s="68" t="s">
        <v>761</v>
      </c>
      <c r="B17" s="68" t="s">
        <v>275</v>
      </c>
      <c r="C17" s="68" t="s">
        <v>762</v>
      </c>
      <c r="D17" s="69" t="s">
        <v>763</v>
      </c>
      <c r="E17" s="69" t="s">
        <v>764</v>
      </c>
      <c r="F17" s="69" t="s">
        <v>466</v>
      </c>
      <c r="G17" s="70" t="s">
        <v>209</v>
      </c>
      <c r="H17" s="71"/>
      <c r="I17" s="71"/>
      <c r="J17" s="73">
        <v>46036</v>
      </c>
      <c r="K17" s="74" t="s">
        <v>306</v>
      </c>
      <c r="L17" s="75" t="s">
        <v>209</v>
      </c>
      <c r="M17" s="73">
        <v>46036</v>
      </c>
      <c r="N17" s="74" t="s">
        <v>306</v>
      </c>
      <c r="O17" s="75" t="s">
        <v>209</v>
      </c>
      <c r="P17" s="73">
        <v>46036</v>
      </c>
      <c r="Q17" s="74" t="s">
        <v>306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13.2" spans="1:29">
      <c r="A18" s="68" t="s">
        <v>761</v>
      </c>
      <c r="B18" s="68" t="s">
        <v>279</v>
      </c>
      <c r="C18" s="68" t="s">
        <v>765</v>
      </c>
      <c r="D18" s="69" t="s">
        <v>766</v>
      </c>
      <c r="E18" s="69" t="s">
        <v>767</v>
      </c>
      <c r="F18" s="69" t="s">
        <v>466</v>
      </c>
      <c r="G18" s="70" t="s">
        <v>209</v>
      </c>
      <c r="H18" s="71"/>
      <c r="I18" s="71"/>
      <c r="J18" s="73">
        <v>46036</v>
      </c>
      <c r="K18" s="74" t="s">
        <v>306</v>
      </c>
      <c r="L18" s="75" t="s">
        <v>209</v>
      </c>
      <c r="M18" s="73">
        <v>46036</v>
      </c>
      <c r="N18" s="74" t="s">
        <v>306</v>
      </c>
      <c r="O18" s="75" t="s">
        <v>209</v>
      </c>
      <c r="P18" s="73">
        <v>46036</v>
      </c>
      <c r="Q18" s="74" t="s">
        <v>306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13.2" spans="1:29">
      <c r="A19" s="68" t="s">
        <v>761</v>
      </c>
      <c r="B19" s="68" t="s">
        <v>768</v>
      </c>
      <c r="C19" s="68" t="s">
        <v>769</v>
      </c>
      <c r="D19" s="69" t="s">
        <v>770</v>
      </c>
      <c r="E19" s="69" t="s">
        <v>309</v>
      </c>
      <c r="F19" s="69" t="s">
        <v>310</v>
      </c>
      <c r="G19" s="70" t="s">
        <v>209</v>
      </c>
      <c r="H19" s="71"/>
      <c r="I19" s="71"/>
      <c r="J19" s="73">
        <v>46036</v>
      </c>
      <c r="K19" s="74" t="s">
        <v>306</v>
      </c>
      <c r="L19" s="75" t="s">
        <v>209</v>
      </c>
      <c r="M19" s="73">
        <v>46036</v>
      </c>
      <c r="N19" s="74" t="s">
        <v>306</v>
      </c>
      <c r="O19" s="75" t="s">
        <v>209</v>
      </c>
      <c r="P19" s="73">
        <v>46036</v>
      </c>
      <c r="Q19" s="74" t="s">
        <v>306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13.2" spans="1:29">
      <c r="A20" s="68" t="s">
        <v>771</v>
      </c>
      <c r="B20" s="68" t="s">
        <v>283</v>
      </c>
      <c r="C20" s="68" t="s">
        <v>772</v>
      </c>
      <c r="D20" s="69" t="s">
        <v>773</v>
      </c>
      <c r="E20" s="69" t="s">
        <v>774</v>
      </c>
      <c r="F20" s="69" t="s">
        <v>466</v>
      </c>
      <c r="G20" s="70" t="s">
        <v>209</v>
      </c>
      <c r="H20" s="71"/>
      <c r="I20" s="71"/>
      <c r="J20" s="73">
        <v>46036</v>
      </c>
      <c r="K20" s="74" t="s">
        <v>306</v>
      </c>
      <c r="L20" s="75" t="s">
        <v>209</v>
      </c>
      <c r="M20" s="73">
        <v>46036</v>
      </c>
      <c r="N20" s="74" t="s">
        <v>306</v>
      </c>
      <c r="O20" s="75" t="s">
        <v>209</v>
      </c>
      <c r="P20" s="73">
        <v>46036</v>
      </c>
      <c r="Q20" s="74" t="s">
        <v>306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13.2" spans="1:29">
      <c r="A21" s="68" t="s">
        <v>771</v>
      </c>
      <c r="B21" s="68" t="s">
        <v>286</v>
      </c>
      <c r="C21" s="68" t="s">
        <v>775</v>
      </c>
      <c r="D21" s="69" t="s">
        <v>776</v>
      </c>
      <c r="E21" s="69" t="s">
        <v>759</v>
      </c>
      <c r="F21" s="69" t="s">
        <v>466</v>
      </c>
      <c r="G21" s="70" t="s">
        <v>209</v>
      </c>
      <c r="H21" s="71"/>
      <c r="I21" s="71"/>
      <c r="J21" s="73">
        <v>46036</v>
      </c>
      <c r="K21" s="74" t="s">
        <v>306</v>
      </c>
      <c r="L21" s="75" t="s">
        <v>209</v>
      </c>
      <c r="M21" s="73">
        <v>46036</v>
      </c>
      <c r="N21" s="74" t="s">
        <v>306</v>
      </c>
      <c r="O21" s="75" t="s">
        <v>209</v>
      </c>
      <c r="P21" s="73">
        <v>46036</v>
      </c>
      <c r="Q21" s="74" t="s">
        <v>306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13.2" spans="1:29">
      <c r="A22" s="68" t="s">
        <v>771</v>
      </c>
      <c r="B22" s="68" t="s">
        <v>290</v>
      </c>
      <c r="C22" s="68" t="s">
        <v>777</v>
      </c>
      <c r="D22" s="69" t="s">
        <v>778</v>
      </c>
      <c r="E22" s="69" t="s">
        <v>309</v>
      </c>
      <c r="F22" s="69" t="s">
        <v>310</v>
      </c>
      <c r="G22" s="70" t="s">
        <v>209</v>
      </c>
      <c r="H22" s="71"/>
      <c r="I22" s="71"/>
      <c r="J22" s="73">
        <v>46036</v>
      </c>
      <c r="K22" s="74" t="s">
        <v>306</v>
      </c>
      <c r="L22" s="75" t="s">
        <v>209</v>
      </c>
      <c r="M22" s="73">
        <v>46036</v>
      </c>
      <c r="N22" s="74" t="s">
        <v>306</v>
      </c>
      <c r="O22" s="75" t="s">
        <v>209</v>
      </c>
      <c r="P22" s="73">
        <v>46036</v>
      </c>
      <c r="Q22" s="74" t="s">
        <v>306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13.2" spans="1:29">
      <c r="A23" s="68" t="s">
        <v>779</v>
      </c>
      <c r="B23" s="68" t="s">
        <v>292</v>
      </c>
      <c r="C23" s="68" t="s">
        <v>780</v>
      </c>
      <c r="D23" s="69" t="s">
        <v>754</v>
      </c>
      <c r="E23" s="69" t="s">
        <v>781</v>
      </c>
      <c r="F23" s="69" t="s">
        <v>466</v>
      </c>
      <c r="G23" s="70" t="s">
        <v>209</v>
      </c>
      <c r="H23" s="71"/>
      <c r="I23" s="71"/>
      <c r="J23" s="73">
        <v>46036</v>
      </c>
      <c r="K23" s="74" t="s">
        <v>306</v>
      </c>
      <c r="L23" s="75" t="s">
        <v>209</v>
      </c>
      <c r="M23" s="73">
        <v>46036</v>
      </c>
      <c r="N23" s="74" t="s">
        <v>306</v>
      </c>
      <c r="O23" s="75" t="s">
        <v>209</v>
      </c>
      <c r="P23" s="73">
        <v>46036</v>
      </c>
      <c r="Q23" s="74" t="s">
        <v>306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13.2" spans="1:29">
      <c r="A24" s="68" t="s">
        <v>779</v>
      </c>
      <c r="B24" s="68" t="s">
        <v>295</v>
      </c>
      <c r="C24" s="68" t="s">
        <v>782</v>
      </c>
      <c r="D24" s="69" t="s">
        <v>758</v>
      </c>
      <c r="E24" s="69" t="s">
        <v>759</v>
      </c>
      <c r="F24" s="69" t="s">
        <v>466</v>
      </c>
      <c r="G24" s="70" t="s">
        <v>209</v>
      </c>
      <c r="H24" s="71"/>
      <c r="I24" s="71"/>
      <c r="J24" s="73">
        <v>46036</v>
      </c>
      <c r="K24" s="74" t="s">
        <v>306</v>
      </c>
      <c r="L24" s="75" t="s">
        <v>209</v>
      </c>
      <c r="M24" s="73">
        <v>46036</v>
      </c>
      <c r="N24" s="74" t="s">
        <v>306</v>
      </c>
      <c r="O24" s="75" t="s">
        <v>209</v>
      </c>
      <c r="P24" s="73">
        <v>46036</v>
      </c>
      <c r="Q24" s="74" t="s">
        <v>306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13.2" spans="1:29">
      <c r="A25" s="68" t="s">
        <v>779</v>
      </c>
      <c r="B25" s="68" t="s">
        <v>297</v>
      </c>
      <c r="C25" s="68" t="s">
        <v>783</v>
      </c>
      <c r="D25" s="69" t="s">
        <v>754</v>
      </c>
      <c r="E25" s="69" t="s">
        <v>309</v>
      </c>
      <c r="F25" s="69" t="s">
        <v>310</v>
      </c>
      <c r="G25" s="70" t="s">
        <v>209</v>
      </c>
      <c r="H25" s="71"/>
      <c r="I25" s="71"/>
      <c r="J25" s="73">
        <v>46036</v>
      </c>
      <c r="K25" s="74" t="s">
        <v>306</v>
      </c>
      <c r="L25" s="75" t="s">
        <v>209</v>
      </c>
      <c r="M25" s="73">
        <v>46036</v>
      </c>
      <c r="N25" s="74" t="s">
        <v>306</v>
      </c>
      <c r="O25" s="75" t="s">
        <v>209</v>
      </c>
      <c r="P25" s="73">
        <v>46036</v>
      </c>
      <c r="Q25" s="74" t="s">
        <v>306</v>
      </c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13.2" outlineLevel="1" spans="1:29">
      <c r="A26" s="68" t="s">
        <v>784</v>
      </c>
      <c r="B26" s="68" t="s">
        <v>785</v>
      </c>
      <c r="C26" s="68" t="s">
        <v>786</v>
      </c>
      <c r="D26" s="69" t="s">
        <v>254</v>
      </c>
      <c r="E26" s="69" t="s">
        <v>787</v>
      </c>
      <c r="F26" s="69" t="s">
        <v>466</v>
      </c>
      <c r="G26" s="70" t="s">
        <v>209</v>
      </c>
      <c r="H26" s="71"/>
      <c r="I26" s="71"/>
      <c r="J26" s="73">
        <v>46036</v>
      </c>
      <c r="K26" s="74" t="s">
        <v>306</v>
      </c>
      <c r="L26" s="75" t="s">
        <v>209</v>
      </c>
      <c r="M26" s="73">
        <v>46036</v>
      </c>
      <c r="N26" s="74" t="s">
        <v>306</v>
      </c>
      <c r="O26" s="75" t="s">
        <v>209</v>
      </c>
      <c r="P26" s="73">
        <v>46036</v>
      </c>
      <c r="Q26" s="74" t="s">
        <v>306</v>
      </c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13.2" outlineLevel="1" spans="1:29">
      <c r="A27" s="68" t="s">
        <v>784</v>
      </c>
      <c r="B27" s="68" t="s">
        <v>788</v>
      </c>
      <c r="C27" s="68" t="s">
        <v>789</v>
      </c>
      <c r="D27" s="69" t="s">
        <v>254</v>
      </c>
      <c r="E27" s="69" t="s">
        <v>469</v>
      </c>
      <c r="F27" s="69" t="s">
        <v>304</v>
      </c>
      <c r="G27" s="70" t="s">
        <v>209</v>
      </c>
      <c r="H27" s="71"/>
      <c r="I27" s="71"/>
      <c r="J27" s="73">
        <v>46036</v>
      </c>
      <c r="K27" s="74" t="s">
        <v>306</v>
      </c>
      <c r="L27" s="75" t="s">
        <v>209</v>
      </c>
      <c r="M27" s="73">
        <v>46036</v>
      </c>
      <c r="N27" s="74" t="s">
        <v>306</v>
      </c>
      <c r="O27" s="75" t="s">
        <v>209</v>
      </c>
      <c r="P27" s="73">
        <v>46036</v>
      </c>
      <c r="Q27" s="74" t="s">
        <v>306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13.2" outlineLevel="1" spans="1:29">
      <c r="A28" s="68" t="s">
        <v>784</v>
      </c>
      <c r="B28" s="68" t="s">
        <v>790</v>
      </c>
      <c r="C28" s="68" t="s">
        <v>791</v>
      </c>
      <c r="D28" s="69" t="s">
        <v>254</v>
      </c>
      <c r="E28" s="69" t="s">
        <v>309</v>
      </c>
      <c r="F28" s="69" t="s">
        <v>310</v>
      </c>
      <c r="G28" s="70" t="s">
        <v>209</v>
      </c>
      <c r="H28" s="71"/>
      <c r="I28" s="71"/>
      <c r="J28" s="73">
        <v>46036</v>
      </c>
      <c r="K28" s="74" t="s">
        <v>306</v>
      </c>
      <c r="L28" s="75" t="s">
        <v>209</v>
      </c>
      <c r="M28" s="73">
        <v>46036</v>
      </c>
      <c r="N28" s="74" t="s">
        <v>306</v>
      </c>
      <c r="O28" s="75" t="s">
        <v>209</v>
      </c>
      <c r="P28" s="73">
        <v>46036</v>
      </c>
      <c r="Q28" s="74" t="s">
        <v>306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13.2" outlineLevel="1" spans="1:29">
      <c r="A29" s="68"/>
      <c r="B29" s="68"/>
      <c r="C29" s="68"/>
      <c r="D29" s="72"/>
      <c r="E29" s="72"/>
      <c r="F29" s="72"/>
      <c r="G29" s="70"/>
      <c r="H29" s="71"/>
      <c r="I29" s="71"/>
      <c r="J29" s="73"/>
      <c r="K29" s="74"/>
      <c r="L29" s="75"/>
      <c r="M29" s="73"/>
      <c r="N29" s="74"/>
      <c r="O29" s="75"/>
      <c r="P29" s="73"/>
      <c r="Q29" s="74"/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13.2" outlineLevel="1" spans="1:29">
      <c r="A30" s="68"/>
      <c r="B30" s="68"/>
      <c r="C30" s="68"/>
      <c r="D30" s="72"/>
      <c r="E30" s="72"/>
      <c r="F30" s="72"/>
      <c r="G30" s="70"/>
      <c r="H30" s="71"/>
      <c r="I30" s="71"/>
      <c r="J30" s="73"/>
      <c r="K30" s="74"/>
      <c r="L30" s="75"/>
      <c r="M30" s="73"/>
      <c r="N30" s="74"/>
      <c r="O30" s="75"/>
      <c r="P30" s="73"/>
      <c r="Q30" s="74"/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13.2" outlineLevel="1" spans="1:29">
      <c r="A31" s="68"/>
      <c r="B31" s="68"/>
      <c r="C31" s="68"/>
      <c r="D31" s="72"/>
      <c r="E31" s="72"/>
      <c r="F31" s="72"/>
      <c r="G31" s="70"/>
      <c r="H31" s="71"/>
      <c r="I31" s="71"/>
      <c r="J31" s="73"/>
      <c r="K31" s="74"/>
      <c r="L31" s="75"/>
      <c r="M31" s="73"/>
      <c r="N31" s="74"/>
      <c r="O31" s="75"/>
      <c r="P31" s="73"/>
      <c r="Q31" s="74"/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13.2" outlineLevel="1" spans="1:29">
      <c r="A32" s="68"/>
      <c r="B32" s="68"/>
      <c r="C32" s="68"/>
      <c r="D32" s="72"/>
      <c r="E32" s="72"/>
      <c r="F32" s="72"/>
      <c r="G32" s="70"/>
      <c r="H32" s="71"/>
      <c r="I32" s="71"/>
      <c r="J32" s="73"/>
      <c r="K32" s="74"/>
      <c r="L32" s="75"/>
      <c r="M32" s="73"/>
      <c r="N32" s="74"/>
      <c r="O32" s="75"/>
      <c r="P32" s="73"/>
      <c r="Q32" s="74"/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3.2" outlineLevel="1" spans="1:29">
      <c r="A33" s="68"/>
      <c r="B33" s="68"/>
      <c r="C33" s="68"/>
      <c r="D33" s="72"/>
      <c r="E33" s="72"/>
      <c r="F33" s="72"/>
      <c r="G33" s="70"/>
      <c r="H33" s="71"/>
      <c r="I33" s="71"/>
      <c r="J33" s="73"/>
      <c r="K33" s="74"/>
      <c r="L33" s="75"/>
      <c r="M33" s="73"/>
      <c r="N33" s="74"/>
      <c r="O33" s="75"/>
      <c r="P33" s="73"/>
      <c r="Q33" s="74"/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3.2" outlineLevel="1" spans="1:29">
      <c r="A34" s="68"/>
      <c r="B34" s="68"/>
      <c r="C34" s="68"/>
      <c r="D34" s="72"/>
      <c r="E34" s="72"/>
      <c r="F34" s="72"/>
      <c r="G34" s="70"/>
      <c r="H34" s="71"/>
      <c r="I34" s="71"/>
      <c r="J34" s="73"/>
      <c r="K34" s="74"/>
      <c r="L34" s="75"/>
      <c r="M34" s="73"/>
      <c r="N34" s="74"/>
      <c r="O34" s="75"/>
      <c r="P34" s="73"/>
      <c r="Q34" s="74"/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3.2" outlineLevel="1" spans="1:29">
      <c r="A35" s="68"/>
      <c r="B35" s="68"/>
      <c r="C35" s="68"/>
      <c r="D35" s="72"/>
      <c r="E35" s="72"/>
      <c r="F35" s="72"/>
      <c r="G35" s="70"/>
      <c r="H35" s="71"/>
      <c r="I35" s="71"/>
      <c r="J35" s="73"/>
      <c r="K35" s="74"/>
      <c r="L35" s="75"/>
      <c r="M35" s="73"/>
      <c r="N35" s="74"/>
      <c r="O35" s="75"/>
      <c r="P35" s="73"/>
      <c r="Q35" s="74"/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3.2" outlineLevel="1" spans="1:29">
      <c r="A36" s="68"/>
      <c r="B36" s="68"/>
      <c r="C36" s="68"/>
      <c r="D36" s="72"/>
      <c r="E36" s="72"/>
      <c r="F36" s="72"/>
      <c r="G36" s="70"/>
      <c r="H36" s="71"/>
      <c r="I36" s="71"/>
      <c r="J36" s="73"/>
      <c r="K36" s="74"/>
      <c r="L36" s="75"/>
      <c r="M36" s="73"/>
      <c r="N36" s="74"/>
      <c r="O36" s="75"/>
      <c r="P36" s="73"/>
      <c r="Q36" s="74"/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3.2" outlineLevel="1" spans="1:29">
      <c r="A37" s="68"/>
      <c r="B37" s="68"/>
      <c r="C37" s="68"/>
      <c r="D37" s="72"/>
      <c r="E37" s="72"/>
      <c r="F37" s="72"/>
      <c r="G37" s="70"/>
      <c r="H37" s="71"/>
      <c r="I37" s="71"/>
      <c r="J37" s="73"/>
      <c r="K37" s="74"/>
      <c r="L37" s="75"/>
      <c r="M37" s="73"/>
      <c r="N37" s="74"/>
      <c r="O37" s="75"/>
      <c r="P37" s="73"/>
      <c r="Q37" s="74"/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2" outlineLevel="1" spans="1:29">
      <c r="A38" s="68"/>
      <c r="B38" s="68"/>
      <c r="C38" s="68"/>
      <c r="D38" s="72"/>
      <c r="E38" s="72"/>
      <c r="F38" s="72"/>
      <c r="G38" s="70"/>
      <c r="H38" s="71"/>
      <c r="I38" s="71"/>
      <c r="J38" s="73"/>
      <c r="K38" s="74"/>
      <c r="L38" s="75"/>
      <c r="M38" s="73"/>
      <c r="N38" s="74"/>
      <c r="O38" s="75"/>
      <c r="P38" s="73"/>
      <c r="Q38" s="74"/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2" outlineLevel="1" spans="1:29">
      <c r="A39" s="68"/>
      <c r="B39" s="68"/>
      <c r="C39" s="68"/>
      <c r="D39" s="72"/>
      <c r="E39" s="72"/>
      <c r="F39" s="72"/>
      <c r="G39" s="70"/>
      <c r="H39" s="71"/>
      <c r="I39" s="71"/>
      <c r="J39" s="73"/>
      <c r="K39" s="74"/>
      <c r="L39" s="75"/>
      <c r="M39" s="73"/>
      <c r="N39" s="74"/>
      <c r="O39" s="75"/>
      <c r="P39" s="73"/>
      <c r="Q39" s="74"/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2" outlineLevel="1" spans="1:29">
      <c r="A40" s="68"/>
      <c r="B40" s="68"/>
      <c r="C40" s="68"/>
      <c r="D40" s="72"/>
      <c r="E40" s="72"/>
      <c r="F40" s="72"/>
      <c r="G40" s="70"/>
      <c r="H40" s="71"/>
      <c r="I40" s="71"/>
      <c r="J40" s="73"/>
      <c r="K40" s="74"/>
      <c r="L40" s="75"/>
      <c r="M40" s="73"/>
      <c r="N40" s="74"/>
      <c r="O40" s="75"/>
      <c r="P40" s="73"/>
      <c r="Q40" s="74"/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2" outlineLevel="1" spans="1:29">
      <c r="A41" s="68"/>
      <c r="B41" s="68"/>
      <c r="C41" s="68"/>
      <c r="D41" s="72"/>
      <c r="E41" s="72"/>
      <c r="F41" s="72"/>
      <c r="G41" s="70"/>
      <c r="H41" s="71"/>
      <c r="I41" s="71"/>
      <c r="J41" s="73"/>
      <c r="K41" s="74"/>
      <c r="L41" s="75"/>
      <c r="M41" s="73"/>
      <c r="N41" s="74"/>
      <c r="O41" s="75"/>
      <c r="P41" s="73"/>
      <c r="Q41" s="74"/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2" outlineLevel="1" spans="1:29">
      <c r="A42" s="68"/>
      <c r="B42" s="68"/>
      <c r="C42" s="68"/>
      <c r="D42" s="72"/>
      <c r="E42" s="72"/>
      <c r="F42" s="72"/>
      <c r="G42" s="70"/>
      <c r="H42" s="71"/>
      <c r="I42" s="71"/>
      <c r="J42" s="73"/>
      <c r="K42" s="74"/>
      <c r="L42" s="75"/>
      <c r="M42" s="73"/>
      <c r="N42" s="74"/>
      <c r="O42" s="75"/>
      <c r="P42" s="73"/>
      <c r="Q42" s="74"/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2" outlineLevel="1" spans="1:29">
      <c r="A43" s="68"/>
      <c r="B43" s="68"/>
      <c r="C43" s="68"/>
      <c r="D43" s="72"/>
      <c r="E43" s="72"/>
      <c r="F43" s="72"/>
      <c r="G43" s="70"/>
      <c r="H43" s="71"/>
      <c r="I43" s="71"/>
      <c r="J43" s="73"/>
      <c r="K43" s="74"/>
      <c r="L43" s="75"/>
      <c r="M43" s="73"/>
      <c r="N43" s="74"/>
      <c r="O43" s="75"/>
      <c r="P43" s="73"/>
      <c r="Q43" s="74"/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2" outlineLevel="1" spans="1:29">
      <c r="A44" s="68"/>
      <c r="B44" s="68"/>
      <c r="C44" s="68"/>
      <c r="D44" s="72"/>
      <c r="E44" s="72"/>
      <c r="F44" s="72"/>
      <c r="G44" s="70"/>
      <c r="H44" s="71"/>
      <c r="I44" s="71"/>
      <c r="J44" s="73"/>
      <c r="K44" s="74"/>
      <c r="L44" s="75"/>
      <c r="M44" s="73"/>
      <c r="N44" s="74"/>
      <c r="O44" s="75"/>
      <c r="P44" s="73"/>
      <c r="Q44" s="74"/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2" outlineLevel="1" spans="1:29">
      <c r="A45" s="68"/>
      <c r="B45" s="68"/>
      <c r="C45" s="68"/>
      <c r="D45" s="72"/>
      <c r="E45" s="72"/>
      <c r="F45" s="72"/>
      <c r="G45" s="70"/>
      <c r="H45" s="71"/>
      <c r="I45" s="71"/>
      <c r="J45" s="73"/>
      <c r="K45" s="74"/>
      <c r="L45" s="75"/>
      <c r="M45" s="73"/>
      <c r="N45" s="74"/>
      <c r="O45" s="75"/>
      <c r="P45" s="73"/>
      <c r="Q45" s="74"/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2" outlineLevel="1" spans="1:29">
      <c r="A46" s="68"/>
      <c r="B46" s="68"/>
      <c r="C46" s="68"/>
      <c r="D46" s="72"/>
      <c r="E46" s="72"/>
      <c r="F46" s="72"/>
      <c r="G46" s="70"/>
      <c r="H46" s="71"/>
      <c r="I46" s="71"/>
      <c r="J46" s="73"/>
      <c r="K46" s="74"/>
      <c r="L46" s="75"/>
      <c r="M46" s="73"/>
      <c r="N46" s="74"/>
      <c r="O46" s="75"/>
      <c r="P46" s="73"/>
      <c r="Q46" s="74"/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2" outlineLevel="1" spans="1:29">
      <c r="A47" s="68"/>
      <c r="B47" s="68"/>
      <c r="C47" s="68"/>
      <c r="D47" s="72"/>
      <c r="E47" s="72"/>
      <c r="F47" s="72"/>
      <c r="G47" s="70"/>
      <c r="H47" s="71"/>
      <c r="I47" s="71"/>
      <c r="J47" s="73"/>
      <c r="K47" s="74"/>
      <c r="L47" s="75"/>
      <c r="M47" s="73"/>
      <c r="N47" s="74"/>
      <c r="O47" s="75"/>
      <c r="P47" s="73"/>
      <c r="Q47" s="74"/>
      <c r="R47" s="30"/>
      <c r="S47" s="43"/>
      <c r="T47" s="53"/>
      <c r="U47" s="43"/>
      <c r="V47" s="43"/>
      <c r="W47" s="43"/>
      <c r="X47" s="43"/>
      <c r="Y47" s="43"/>
      <c r="Z47" s="43"/>
      <c r="AA47" s="43"/>
      <c r="AB47" s="43"/>
      <c r="AC47" s="43"/>
    </row>
    <row r="48" ht="13.2" outlineLevel="1" spans="1:29">
      <c r="A48" s="68"/>
      <c r="B48" s="68"/>
      <c r="C48" s="68"/>
      <c r="D48" s="72"/>
      <c r="E48" s="72"/>
      <c r="F48" s="72"/>
      <c r="G48" s="70"/>
      <c r="H48" s="71"/>
      <c r="I48" s="71"/>
      <c r="J48" s="73"/>
      <c r="K48" s="74"/>
      <c r="L48" s="75"/>
      <c r="M48" s="73"/>
      <c r="N48" s="74"/>
      <c r="O48" s="75"/>
      <c r="P48" s="73"/>
      <c r="Q48" s="74"/>
      <c r="R48" s="30"/>
      <c r="S48" s="43"/>
      <c r="T48" s="53"/>
      <c r="U48" s="43"/>
      <c r="V48" s="43"/>
      <c r="W48" s="43"/>
      <c r="X48" s="43"/>
      <c r="Y48" s="43"/>
      <c r="Z48" s="43"/>
      <c r="AA48" s="43"/>
      <c r="AB48" s="43"/>
      <c r="AC48" s="43"/>
    </row>
    <row r="49" ht="13.2" spans="1:29">
      <c r="A49" s="68"/>
      <c r="B49" s="68"/>
      <c r="C49" s="68"/>
      <c r="D49" s="72"/>
      <c r="E49" s="72"/>
      <c r="F49" s="72"/>
      <c r="G49" s="70"/>
      <c r="H49" s="71"/>
      <c r="I49" s="71"/>
      <c r="J49" s="73"/>
      <c r="K49" s="74"/>
      <c r="L49" s="75"/>
      <c r="M49" s="73"/>
      <c r="N49" s="74"/>
      <c r="O49" s="75"/>
      <c r="P49" s="73"/>
      <c r="Q49" s="74"/>
      <c r="R49" s="30"/>
      <c r="S49" s="47"/>
      <c r="T49" s="51"/>
      <c r="U49" s="47"/>
      <c r="V49" s="47"/>
      <c r="W49" s="47"/>
      <c r="X49" s="47"/>
      <c r="Y49" s="47"/>
      <c r="Z49" s="47"/>
      <c r="AA49" s="47"/>
      <c r="AB49" s="47"/>
      <c r="AC49" s="47"/>
    </row>
    <row r="50" ht="13.2" spans="1:29">
      <c r="A50" s="68"/>
      <c r="B50" s="68"/>
      <c r="C50" s="68"/>
      <c r="D50" s="72"/>
      <c r="E50" s="72"/>
      <c r="F50" s="72"/>
      <c r="G50" s="70"/>
      <c r="H50" s="71"/>
      <c r="I50" s="71"/>
      <c r="J50" s="73"/>
      <c r="K50" s="74"/>
      <c r="L50" s="75"/>
      <c r="M50" s="73"/>
      <c r="N50" s="74"/>
      <c r="O50" s="75"/>
      <c r="P50" s="73"/>
      <c r="Q50" s="74"/>
      <c r="R50" s="30"/>
      <c r="S50" s="54"/>
      <c r="T50" s="55"/>
      <c r="U50" s="54"/>
      <c r="V50" s="54"/>
      <c r="W50" s="54"/>
      <c r="X50" s="54"/>
      <c r="Y50" s="54"/>
      <c r="Z50" s="54"/>
      <c r="AA50" s="54"/>
      <c r="AB50" s="54"/>
      <c r="AC50" s="54"/>
    </row>
    <row r="51" ht="13.2" spans="1:29">
      <c r="A51" s="68"/>
      <c r="B51" s="68"/>
      <c r="C51" s="68"/>
      <c r="D51" s="72"/>
      <c r="E51" s="72"/>
      <c r="F51" s="72"/>
      <c r="G51" s="70"/>
      <c r="H51" s="71"/>
      <c r="I51" s="71"/>
      <c r="J51" s="73"/>
      <c r="K51" s="74"/>
      <c r="L51" s="75"/>
      <c r="M51" s="73"/>
      <c r="N51" s="74"/>
      <c r="O51" s="75"/>
      <c r="P51" s="73"/>
      <c r="Q51" s="74"/>
      <c r="R51" s="30"/>
      <c r="S51" s="54"/>
      <c r="T51" s="55"/>
      <c r="U51" s="54"/>
      <c r="V51" s="54"/>
      <c r="W51" s="54"/>
      <c r="X51" s="54"/>
      <c r="Y51" s="54"/>
      <c r="Z51" s="54"/>
      <c r="AA51" s="54"/>
      <c r="AB51" s="54"/>
      <c r="AC51" s="54"/>
    </row>
    <row r="52" ht="13.2" outlineLevel="1" spans="1:29">
      <c r="A52" s="68"/>
      <c r="B52" s="68"/>
      <c r="C52" s="68"/>
      <c r="D52" s="72"/>
      <c r="E52" s="72"/>
      <c r="F52" s="72"/>
      <c r="G52" s="70"/>
      <c r="H52" s="71"/>
      <c r="I52" s="71"/>
      <c r="J52" s="73"/>
      <c r="K52" s="74"/>
      <c r="L52" s="75"/>
      <c r="M52" s="73"/>
      <c r="N52" s="74"/>
      <c r="O52" s="75"/>
      <c r="P52" s="73"/>
      <c r="Q52" s="74"/>
      <c r="R52" s="30"/>
      <c r="S52" s="37"/>
      <c r="T52" s="56"/>
      <c r="U52" s="37"/>
      <c r="V52" s="37"/>
      <c r="W52" s="37"/>
      <c r="X52" s="37"/>
      <c r="Y52" s="37"/>
      <c r="Z52" s="37"/>
      <c r="AA52" s="37"/>
      <c r="AB52" s="37"/>
      <c r="AC52" s="37"/>
    </row>
    <row r="53" ht="13.2" outlineLevel="1" spans="1:29">
      <c r="A53" s="68"/>
      <c r="B53" s="68"/>
      <c r="C53" s="68"/>
      <c r="D53" s="72"/>
      <c r="E53" s="72"/>
      <c r="F53" s="72"/>
      <c r="G53" s="70"/>
      <c r="H53" s="71"/>
      <c r="I53" s="71"/>
      <c r="J53" s="73"/>
      <c r="K53" s="74"/>
      <c r="L53" s="75"/>
      <c r="M53" s="73"/>
      <c r="N53" s="74"/>
      <c r="O53" s="75"/>
      <c r="P53" s="73"/>
      <c r="Q53" s="74"/>
      <c r="R53" s="30"/>
      <c r="S53" s="37"/>
      <c r="T53" s="56"/>
      <c r="U53" s="37"/>
      <c r="V53" s="37"/>
      <c r="W53" s="37"/>
      <c r="X53" s="37"/>
      <c r="Y53" s="37"/>
      <c r="Z53" s="37"/>
      <c r="AA53" s="37"/>
      <c r="AB53" s="37"/>
      <c r="AC53" s="37"/>
    </row>
    <row r="54" ht="64.5" customHeight="1" outlineLevel="1" spans="1:29">
      <c r="A54" s="62"/>
      <c r="B54" s="62"/>
      <c r="C54" s="62"/>
      <c r="D54" s="63"/>
      <c r="E54" s="63"/>
      <c r="F54" s="62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62"/>
      <c r="S54" s="37"/>
      <c r="T54" s="57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62"/>
      <c r="B55" s="62"/>
      <c r="C55" s="62"/>
      <c r="D55" s="63"/>
      <c r="E55" s="63"/>
      <c r="F55" s="62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67"/>
      <c r="S55" s="54"/>
      <c r="T55" s="55"/>
      <c r="U55" s="54"/>
      <c r="V55" s="54"/>
      <c r="W55" s="54"/>
      <c r="X55" s="54"/>
      <c r="Y55" s="54"/>
      <c r="Z55" s="54"/>
      <c r="AA55" s="54"/>
      <c r="AB55" s="54"/>
      <c r="AC55" s="54"/>
    </row>
    <row r="56" ht="64.5" customHeight="1" outlineLevel="1" spans="1:29">
      <c r="A56" s="62"/>
      <c r="B56" s="62"/>
      <c r="C56" s="62"/>
      <c r="D56" s="63"/>
      <c r="E56" s="63"/>
      <c r="F56" s="62"/>
      <c r="G56" s="1"/>
      <c r="H56" s="64"/>
      <c r="I56" s="64"/>
      <c r="J56" s="1"/>
      <c r="K56" s="1"/>
      <c r="L56" s="1"/>
      <c r="M56" s="1"/>
      <c r="N56" s="1"/>
      <c r="O56" s="1"/>
      <c r="P56" s="1"/>
      <c r="Q56" s="1"/>
      <c r="R56" s="67"/>
      <c r="S56" s="37"/>
      <c r="T56" s="56"/>
      <c r="U56" s="37"/>
      <c r="V56" s="37"/>
      <c r="W56" s="37"/>
      <c r="X56" s="37"/>
      <c r="Y56" s="37"/>
      <c r="Z56" s="37"/>
      <c r="AA56" s="37"/>
      <c r="AB56" s="37"/>
      <c r="AC56" s="37"/>
    </row>
    <row r="57" ht="64.5" customHeight="1" spans="1:29">
      <c r="A57" s="62"/>
      <c r="B57" s="62"/>
      <c r="C57" s="62"/>
      <c r="D57" s="65"/>
      <c r="E57" s="65"/>
      <c r="F57" s="66"/>
      <c r="G57" s="1"/>
      <c r="H57" s="64"/>
      <c r="I57" s="64"/>
      <c r="J57" s="1"/>
      <c r="K57" s="1"/>
      <c r="L57" s="1"/>
      <c r="M57" s="1"/>
      <c r="N57" s="1"/>
      <c r="O57" s="1"/>
      <c r="P57" s="1"/>
      <c r="Q57" s="1"/>
      <c r="R57" s="66"/>
      <c r="S57" s="37"/>
      <c r="T57" s="57"/>
      <c r="U57" s="37"/>
      <c r="V57" s="37"/>
      <c r="W57" s="37"/>
      <c r="X57" s="37"/>
      <c r="Y57" s="37"/>
      <c r="Z57" s="37"/>
      <c r="AA57" s="37"/>
      <c r="AB57" s="37"/>
      <c r="AC57" s="37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37"/>
      <c r="C228" s="38"/>
      <c r="D228" s="39"/>
      <c r="E228" s="39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37"/>
      <c r="C229" s="38"/>
      <c r="D229" s="39"/>
      <c r="E229" s="39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2.75" customHeight="1" spans="1:29">
      <c r="A252" s="37"/>
      <c r="B252" s="43"/>
      <c r="C252" s="58"/>
      <c r="D252" s="59"/>
      <c r="E252" s="59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2.75" customHeight="1" spans="1:29">
      <c r="A253" s="37"/>
      <c r="B253" s="43"/>
      <c r="C253" s="58"/>
      <c r="D253" s="59"/>
      <c r="E253" s="59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7:H57 G11:G56 H2:H3 L11:L57 M2:M3 O11:O5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26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97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COUNTA(B11:B960)-COUNTIF($N11:$N960,"Skip")</f>
        <v>21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COUNTIF($G11:$G960,C5)</f>
        <v>21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COUNTIF($L11:$L960,C5)</f>
        <v>21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COUNTIF($O11:$O960,C5)</f>
        <v>21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237.6" spans="1:29">
      <c r="A11" s="30" t="s">
        <v>96</v>
      </c>
      <c r="B11" s="30" t="s">
        <v>300</v>
      </c>
      <c r="C11" s="30" t="s">
        <v>792</v>
      </c>
      <c r="D11" s="31" t="s">
        <v>254</v>
      </c>
      <c r="E11" s="31" t="s">
        <v>793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4</v>
      </c>
      <c r="L11" s="42" t="s">
        <v>209</v>
      </c>
      <c r="M11" s="40">
        <v>45993</v>
      </c>
      <c r="N11" s="41" t="s">
        <v>4</v>
      </c>
      <c r="O11" s="42" t="s">
        <v>209</v>
      </c>
      <c r="P11" s="40">
        <v>45995</v>
      </c>
      <c r="Q11" s="41" t="s">
        <v>4</v>
      </c>
      <c r="R11" s="4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26.4" spans="1:29">
      <c r="A12" s="30" t="s">
        <v>96</v>
      </c>
      <c r="B12" s="30" t="s">
        <v>307</v>
      </c>
      <c r="C12" s="30" t="s">
        <v>794</v>
      </c>
      <c r="D12" s="31" t="s">
        <v>254</v>
      </c>
      <c r="E12" s="31" t="s">
        <v>342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4</v>
      </c>
      <c r="L12" s="42" t="s">
        <v>209</v>
      </c>
      <c r="M12" s="40">
        <v>45993</v>
      </c>
      <c r="N12" s="41" t="s">
        <v>4</v>
      </c>
      <c r="O12" s="42" t="s">
        <v>209</v>
      </c>
      <c r="P12" s="40">
        <v>45995</v>
      </c>
      <c r="Q12" s="41" t="s">
        <v>4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145.2" spans="1:29">
      <c r="A13" s="30" t="s">
        <v>98</v>
      </c>
      <c r="B13" s="30" t="s">
        <v>324</v>
      </c>
      <c r="C13" s="30" t="s">
        <v>795</v>
      </c>
      <c r="D13" s="31" t="s">
        <v>796</v>
      </c>
      <c r="E13" s="31" t="s">
        <v>797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4</v>
      </c>
      <c r="L13" s="42" t="s">
        <v>209</v>
      </c>
      <c r="M13" s="40">
        <v>45993</v>
      </c>
      <c r="N13" s="41" t="s">
        <v>4</v>
      </c>
      <c r="O13" s="42" t="s">
        <v>209</v>
      </c>
      <c r="P13" s="40">
        <v>45995</v>
      </c>
      <c r="Q13" s="41" t="s">
        <v>4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79.2" spans="1:29">
      <c r="A14" s="30" t="s">
        <v>98</v>
      </c>
      <c r="B14" s="30" t="s">
        <v>328</v>
      </c>
      <c r="C14" s="30" t="s">
        <v>798</v>
      </c>
      <c r="D14" s="31" t="s">
        <v>799</v>
      </c>
      <c r="E14" s="31" t="s">
        <v>800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4</v>
      </c>
      <c r="L14" s="42" t="s">
        <v>209</v>
      </c>
      <c r="M14" s="40">
        <v>45993</v>
      </c>
      <c r="N14" s="41" t="s">
        <v>4</v>
      </c>
      <c r="O14" s="42" t="s">
        <v>209</v>
      </c>
      <c r="P14" s="40">
        <v>45995</v>
      </c>
      <c r="Q14" s="41" t="s">
        <v>4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79.2" spans="1:29">
      <c r="A15" s="30" t="s">
        <v>98</v>
      </c>
      <c r="B15" s="30" t="s">
        <v>332</v>
      </c>
      <c r="C15" s="30" t="s">
        <v>801</v>
      </c>
      <c r="D15" s="31" t="s">
        <v>802</v>
      </c>
      <c r="E15" s="31" t="s">
        <v>803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4</v>
      </c>
      <c r="L15" s="42" t="s">
        <v>209</v>
      </c>
      <c r="M15" s="40">
        <v>45993</v>
      </c>
      <c r="N15" s="41" t="s">
        <v>4</v>
      </c>
      <c r="O15" s="42" t="s">
        <v>209</v>
      </c>
      <c r="P15" s="40">
        <v>45995</v>
      </c>
      <c r="Q15" s="41" t="s">
        <v>4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66" spans="1:29">
      <c r="A16" s="30" t="s">
        <v>98</v>
      </c>
      <c r="B16" s="30" t="s">
        <v>804</v>
      </c>
      <c r="C16" s="30" t="s">
        <v>805</v>
      </c>
      <c r="D16" s="31" t="s">
        <v>806</v>
      </c>
      <c r="E16" s="31" t="s">
        <v>807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4</v>
      </c>
      <c r="L16" s="42" t="s">
        <v>209</v>
      </c>
      <c r="M16" s="40">
        <v>45993</v>
      </c>
      <c r="N16" s="41" t="s">
        <v>4</v>
      </c>
      <c r="O16" s="42" t="s">
        <v>209</v>
      </c>
      <c r="P16" s="40">
        <v>45995</v>
      </c>
      <c r="Q16" s="41" t="s">
        <v>4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79.2" spans="1:29">
      <c r="A17" s="30" t="s">
        <v>98</v>
      </c>
      <c r="B17" s="30" t="s">
        <v>808</v>
      </c>
      <c r="C17" s="30" t="s">
        <v>809</v>
      </c>
      <c r="D17" s="31" t="s">
        <v>810</v>
      </c>
      <c r="E17" s="31" t="s">
        <v>811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4</v>
      </c>
      <c r="L17" s="42" t="s">
        <v>209</v>
      </c>
      <c r="M17" s="40">
        <v>45993</v>
      </c>
      <c r="N17" s="41" t="s">
        <v>4</v>
      </c>
      <c r="O17" s="42" t="s">
        <v>209</v>
      </c>
      <c r="P17" s="40">
        <v>45995</v>
      </c>
      <c r="Q17" s="41" t="s">
        <v>4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105.6" spans="1:29">
      <c r="A18" s="30" t="s">
        <v>99</v>
      </c>
      <c r="B18" s="30" t="s">
        <v>335</v>
      </c>
      <c r="C18" s="30" t="s">
        <v>812</v>
      </c>
      <c r="D18" s="31" t="s">
        <v>813</v>
      </c>
      <c r="E18" s="31" t="s">
        <v>814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4</v>
      </c>
      <c r="L18" s="42" t="s">
        <v>209</v>
      </c>
      <c r="M18" s="40">
        <v>45993</v>
      </c>
      <c r="N18" s="41" t="s">
        <v>4</v>
      </c>
      <c r="O18" s="42" t="s">
        <v>209</v>
      </c>
      <c r="P18" s="40">
        <v>45995</v>
      </c>
      <c r="Q18" s="41" t="s">
        <v>4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39.6" spans="1:29">
      <c r="A19" s="30" t="s">
        <v>99</v>
      </c>
      <c r="B19" s="30" t="s">
        <v>339</v>
      </c>
      <c r="C19" s="30" t="s">
        <v>815</v>
      </c>
      <c r="D19" s="31" t="s">
        <v>816</v>
      </c>
      <c r="E19" s="31" t="s">
        <v>817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4</v>
      </c>
      <c r="L19" s="42" t="s">
        <v>209</v>
      </c>
      <c r="M19" s="40">
        <v>45993</v>
      </c>
      <c r="N19" s="41" t="s">
        <v>4</v>
      </c>
      <c r="O19" s="42" t="s">
        <v>209</v>
      </c>
      <c r="P19" s="40">
        <v>45995</v>
      </c>
      <c r="Q19" s="41" t="s">
        <v>4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39.6" spans="1:29">
      <c r="A20" s="30" t="s">
        <v>100</v>
      </c>
      <c r="B20" s="30" t="s">
        <v>346</v>
      </c>
      <c r="C20" s="30" t="s">
        <v>818</v>
      </c>
      <c r="D20" s="31" t="s">
        <v>813</v>
      </c>
      <c r="E20" s="31" t="s">
        <v>819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4</v>
      </c>
      <c r="L20" s="42" t="s">
        <v>209</v>
      </c>
      <c r="M20" s="40">
        <v>45993</v>
      </c>
      <c r="N20" s="41" t="s">
        <v>4</v>
      </c>
      <c r="O20" s="42" t="s">
        <v>209</v>
      </c>
      <c r="P20" s="40">
        <v>45995</v>
      </c>
      <c r="Q20" s="41" t="s">
        <v>4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39.6" spans="1:29">
      <c r="A21" s="30" t="s">
        <v>100</v>
      </c>
      <c r="B21" s="30" t="s">
        <v>349</v>
      </c>
      <c r="C21" s="30" t="s">
        <v>820</v>
      </c>
      <c r="D21" s="31" t="s">
        <v>816</v>
      </c>
      <c r="E21" s="31" t="s">
        <v>817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4</v>
      </c>
      <c r="L21" s="42" t="s">
        <v>209</v>
      </c>
      <c r="M21" s="40">
        <v>45993</v>
      </c>
      <c r="N21" s="41" t="s">
        <v>4</v>
      </c>
      <c r="O21" s="42" t="s">
        <v>209</v>
      </c>
      <c r="P21" s="40">
        <v>45995</v>
      </c>
      <c r="Q21" s="41" t="s">
        <v>4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316.8" spans="1:29">
      <c r="A22" s="30" t="s">
        <v>101</v>
      </c>
      <c r="B22" s="30" t="s">
        <v>356</v>
      </c>
      <c r="C22" s="30" t="s">
        <v>821</v>
      </c>
      <c r="D22" s="31" t="s">
        <v>277</v>
      </c>
      <c r="E22" s="31" t="s">
        <v>822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4</v>
      </c>
      <c r="L22" s="42" t="s">
        <v>209</v>
      </c>
      <c r="M22" s="40">
        <v>45993</v>
      </c>
      <c r="N22" s="41" t="s">
        <v>4</v>
      </c>
      <c r="O22" s="42" t="s">
        <v>209</v>
      </c>
      <c r="P22" s="40">
        <v>45995</v>
      </c>
      <c r="Q22" s="41" t="s">
        <v>4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39.6" spans="1:29">
      <c r="A23" s="30" t="s">
        <v>101</v>
      </c>
      <c r="B23" s="30" t="s">
        <v>361</v>
      </c>
      <c r="C23" s="30" t="s">
        <v>823</v>
      </c>
      <c r="D23" s="31" t="s">
        <v>281</v>
      </c>
      <c r="E23" s="31" t="s">
        <v>342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4</v>
      </c>
      <c r="L23" s="42" t="s">
        <v>209</v>
      </c>
      <c r="M23" s="40">
        <v>45993</v>
      </c>
      <c r="N23" s="41" t="s">
        <v>4</v>
      </c>
      <c r="O23" s="42" t="s">
        <v>209</v>
      </c>
      <c r="P23" s="40">
        <v>45995</v>
      </c>
      <c r="Q23" s="41" t="s">
        <v>4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39.6" spans="1:29">
      <c r="A24" s="30" t="s">
        <v>102</v>
      </c>
      <c r="B24" s="30" t="s">
        <v>375</v>
      </c>
      <c r="C24" s="30" t="s">
        <v>824</v>
      </c>
      <c r="D24" s="31" t="s">
        <v>813</v>
      </c>
      <c r="E24" s="31" t="s">
        <v>825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4</v>
      </c>
      <c r="L24" s="42" t="s">
        <v>209</v>
      </c>
      <c r="M24" s="40">
        <v>45993</v>
      </c>
      <c r="N24" s="41" t="s">
        <v>4</v>
      </c>
      <c r="O24" s="42" t="s">
        <v>209</v>
      </c>
      <c r="P24" s="40">
        <v>45995</v>
      </c>
      <c r="Q24" s="41" t="s">
        <v>4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39.6" spans="1:29">
      <c r="A25" s="30" t="s">
        <v>102</v>
      </c>
      <c r="B25" s="30" t="s">
        <v>380</v>
      </c>
      <c r="C25" s="30" t="s">
        <v>826</v>
      </c>
      <c r="D25" s="31" t="s">
        <v>816</v>
      </c>
      <c r="E25" s="31" t="s">
        <v>817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4</v>
      </c>
      <c r="L25" s="42" t="s">
        <v>209</v>
      </c>
      <c r="M25" s="40">
        <v>45993</v>
      </c>
      <c r="N25" s="41" t="s">
        <v>4</v>
      </c>
      <c r="O25" s="42" t="s">
        <v>209</v>
      </c>
      <c r="P25" s="40">
        <v>45995</v>
      </c>
      <c r="Q25" s="41" t="s">
        <v>4</v>
      </c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39.6" outlineLevel="1" spans="1:29">
      <c r="A26" s="30" t="s">
        <v>103</v>
      </c>
      <c r="B26" s="30" t="s">
        <v>392</v>
      </c>
      <c r="C26" s="30" t="s">
        <v>827</v>
      </c>
      <c r="D26" s="31" t="s">
        <v>277</v>
      </c>
      <c r="E26" s="31" t="s">
        <v>828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4</v>
      </c>
      <c r="L26" s="42" t="s">
        <v>209</v>
      </c>
      <c r="M26" s="40">
        <v>45993</v>
      </c>
      <c r="N26" s="41" t="s">
        <v>4</v>
      </c>
      <c r="O26" s="42" t="s">
        <v>209</v>
      </c>
      <c r="P26" s="40">
        <v>45995</v>
      </c>
      <c r="Q26" s="41" t="s">
        <v>4</v>
      </c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39.6" outlineLevel="1" spans="1:29">
      <c r="A27" s="30" t="s">
        <v>103</v>
      </c>
      <c r="B27" s="30" t="s">
        <v>396</v>
      </c>
      <c r="C27" s="30" t="s">
        <v>829</v>
      </c>
      <c r="D27" s="31" t="s">
        <v>288</v>
      </c>
      <c r="E27" s="31" t="s">
        <v>830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4</v>
      </c>
      <c r="L27" s="42" t="s">
        <v>209</v>
      </c>
      <c r="M27" s="40">
        <v>45993</v>
      </c>
      <c r="N27" s="41" t="s">
        <v>4</v>
      </c>
      <c r="O27" s="42" t="s">
        <v>209</v>
      </c>
      <c r="P27" s="40">
        <v>45995</v>
      </c>
      <c r="Q27" s="41" t="s">
        <v>4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39.6" outlineLevel="1" spans="1:29">
      <c r="A28" s="30" t="s">
        <v>103</v>
      </c>
      <c r="B28" s="30" t="s">
        <v>399</v>
      </c>
      <c r="C28" s="30" t="s">
        <v>831</v>
      </c>
      <c r="D28" s="31" t="s">
        <v>281</v>
      </c>
      <c r="E28" s="31" t="s">
        <v>830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4</v>
      </c>
      <c r="L28" s="42" t="s">
        <v>209</v>
      </c>
      <c r="M28" s="40">
        <v>45993</v>
      </c>
      <c r="N28" s="41" t="s">
        <v>4</v>
      </c>
      <c r="O28" s="42" t="s">
        <v>209</v>
      </c>
      <c r="P28" s="40">
        <v>45995</v>
      </c>
      <c r="Q28" s="41" t="s">
        <v>4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39.6" outlineLevel="1" spans="1:29">
      <c r="A29" s="30" t="s">
        <v>104</v>
      </c>
      <c r="B29" s="30" t="s">
        <v>405</v>
      </c>
      <c r="C29" s="30" t="s">
        <v>832</v>
      </c>
      <c r="D29" s="31" t="s">
        <v>277</v>
      </c>
      <c r="E29" s="31" t="s">
        <v>833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4</v>
      </c>
      <c r="L29" s="42" t="s">
        <v>209</v>
      </c>
      <c r="M29" s="40">
        <v>45993</v>
      </c>
      <c r="N29" s="41" t="s">
        <v>4</v>
      </c>
      <c r="O29" s="42" t="s">
        <v>209</v>
      </c>
      <c r="P29" s="40">
        <v>45995</v>
      </c>
      <c r="Q29" s="41" t="s">
        <v>4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39.6" outlineLevel="1" spans="1:29">
      <c r="A30" s="30" t="s">
        <v>104</v>
      </c>
      <c r="B30" s="30" t="s">
        <v>410</v>
      </c>
      <c r="C30" s="30" t="s">
        <v>834</v>
      </c>
      <c r="D30" s="31" t="s">
        <v>288</v>
      </c>
      <c r="E30" s="31" t="s">
        <v>835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4</v>
      </c>
      <c r="L30" s="42" t="s">
        <v>209</v>
      </c>
      <c r="M30" s="40">
        <v>45993</v>
      </c>
      <c r="N30" s="41" t="s">
        <v>4</v>
      </c>
      <c r="O30" s="42" t="s">
        <v>209</v>
      </c>
      <c r="P30" s="40">
        <v>45995</v>
      </c>
      <c r="Q30" s="41" t="s">
        <v>4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39.6" outlineLevel="1" spans="1:29">
      <c r="A31" s="30" t="s">
        <v>104</v>
      </c>
      <c r="B31" s="30" t="s">
        <v>414</v>
      </c>
      <c r="C31" s="30" t="s">
        <v>836</v>
      </c>
      <c r="D31" s="31" t="s">
        <v>281</v>
      </c>
      <c r="E31" s="31" t="s">
        <v>835</v>
      </c>
      <c r="F31" s="30" t="s">
        <v>237</v>
      </c>
      <c r="G31" s="32" t="s">
        <v>209</v>
      </c>
      <c r="H31" s="33"/>
      <c r="I31" s="33"/>
      <c r="J31" s="40">
        <v>45991</v>
      </c>
      <c r="K31" s="41" t="s">
        <v>4</v>
      </c>
      <c r="L31" s="42" t="s">
        <v>209</v>
      </c>
      <c r="M31" s="40">
        <v>45993</v>
      </c>
      <c r="N31" s="41" t="s">
        <v>4</v>
      </c>
      <c r="O31" s="42" t="s">
        <v>209</v>
      </c>
      <c r="P31" s="40">
        <v>45995</v>
      </c>
      <c r="Q31" s="41" t="s">
        <v>4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13.8" outlineLevel="1" spans="1:29">
      <c r="A32" s="30"/>
      <c r="B32" s="30"/>
      <c r="C32" s="30"/>
      <c r="D32" s="31"/>
      <c r="E32" s="31"/>
      <c r="F32" s="30"/>
      <c r="G32" s="32"/>
      <c r="H32" s="33"/>
      <c r="I32" s="33"/>
      <c r="J32" s="40"/>
      <c r="K32" s="41"/>
      <c r="L32" s="42"/>
      <c r="M32" s="40"/>
      <c r="N32" s="41"/>
      <c r="O32" s="42"/>
      <c r="P32" s="40"/>
      <c r="Q32" s="41"/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3.8" outlineLevel="1" spans="1:29">
      <c r="A33" s="30"/>
      <c r="B33" s="30"/>
      <c r="C33" s="30"/>
      <c r="D33" s="31"/>
      <c r="E33" s="31"/>
      <c r="F33" s="30"/>
      <c r="G33" s="32"/>
      <c r="H33" s="33"/>
      <c r="I33" s="33"/>
      <c r="J33" s="40"/>
      <c r="K33" s="41"/>
      <c r="L33" s="42"/>
      <c r="M33" s="40"/>
      <c r="N33" s="41"/>
      <c r="O33" s="42"/>
      <c r="P33" s="40"/>
      <c r="Q33" s="41"/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3.8" outlineLevel="1" spans="1:29">
      <c r="A34" s="30"/>
      <c r="B34" s="30"/>
      <c r="C34" s="30"/>
      <c r="D34" s="31"/>
      <c r="E34" s="31"/>
      <c r="F34" s="30"/>
      <c r="G34" s="32"/>
      <c r="H34" s="33"/>
      <c r="I34" s="33"/>
      <c r="J34" s="40"/>
      <c r="K34" s="41"/>
      <c r="L34" s="42"/>
      <c r="M34" s="40"/>
      <c r="N34" s="41"/>
      <c r="O34" s="42"/>
      <c r="P34" s="40"/>
      <c r="Q34" s="41"/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3.8" outlineLevel="1" spans="1:29">
      <c r="A35" s="30"/>
      <c r="B35" s="30"/>
      <c r="C35" s="30"/>
      <c r="D35" s="31"/>
      <c r="E35" s="31"/>
      <c r="F35" s="30"/>
      <c r="G35" s="32"/>
      <c r="H35" s="33"/>
      <c r="I35" s="33"/>
      <c r="J35" s="40"/>
      <c r="K35" s="41"/>
      <c r="L35" s="42"/>
      <c r="M35" s="40"/>
      <c r="N35" s="41"/>
      <c r="O35" s="42"/>
      <c r="P35" s="40"/>
      <c r="Q35" s="41"/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3.8" outlineLevel="1" spans="1:29">
      <c r="A36" s="30"/>
      <c r="B36" s="30"/>
      <c r="C36" s="30"/>
      <c r="D36" s="31"/>
      <c r="E36" s="31"/>
      <c r="F36" s="30"/>
      <c r="G36" s="32"/>
      <c r="H36" s="33"/>
      <c r="I36" s="33"/>
      <c r="J36" s="40"/>
      <c r="K36" s="41"/>
      <c r="L36" s="42"/>
      <c r="M36" s="40"/>
      <c r="N36" s="41"/>
      <c r="O36" s="42"/>
      <c r="P36" s="40"/>
      <c r="Q36" s="41"/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3.8" outlineLevel="1" spans="1:29">
      <c r="A37" s="30"/>
      <c r="B37" s="30"/>
      <c r="C37" s="30"/>
      <c r="D37" s="31"/>
      <c r="E37" s="31"/>
      <c r="F37" s="30"/>
      <c r="G37" s="32"/>
      <c r="H37" s="33"/>
      <c r="I37" s="33"/>
      <c r="J37" s="40"/>
      <c r="K37" s="41"/>
      <c r="L37" s="42"/>
      <c r="M37" s="40"/>
      <c r="N37" s="41"/>
      <c r="O37" s="42"/>
      <c r="P37" s="40"/>
      <c r="Q37" s="41"/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8" outlineLevel="1" spans="1:29">
      <c r="A38" s="30"/>
      <c r="B38" s="30"/>
      <c r="C38" s="30"/>
      <c r="D38" s="31"/>
      <c r="E38" s="31"/>
      <c r="F38" s="30"/>
      <c r="G38" s="32"/>
      <c r="H38" s="33"/>
      <c r="I38" s="33"/>
      <c r="J38" s="42"/>
      <c r="K38" s="41"/>
      <c r="L38" s="42"/>
      <c r="M38" s="42"/>
      <c r="N38" s="41"/>
      <c r="O38" s="42"/>
      <c r="P38" s="42"/>
      <c r="Q38" s="41"/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8" outlineLevel="1" spans="1:29">
      <c r="A39" s="30"/>
      <c r="B39" s="30"/>
      <c r="C39" s="30"/>
      <c r="D39" s="31"/>
      <c r="E39" s="31"/>
      <c r="F39" s="30"/>
      <c r="G39" s="32"/>
      <c r="H39" s="33"/>
      <c r="I39" s="33"/>
      <c r="J39" s="42"/>
      <c r="K39" s="41"/>
      <c r="L39" s="42"/>
      <c r="M39" s="42"/>
      <c r="N39" s="41"/>
      <c r="O39" s="42"/>
      <c r="P39" s="42"/>
      <c r="Q39" s="41"/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8" outlineLevel="1" spans="1:29">
      <c r="A40" s="30"/>
      <c r="B40" s="30"/>
      <c r="C40" s="30"/>
      <c r="D40" s="31"/>
      <c r="E40" s="31"/>
      <c r="F40" s="30"/>
      <c r="G40" s="32"/>
      <c r="H40" s="33"/>
      <c r="I40" s="33"/>
      <c r="J40" s="42"/>
      <c r="K40" s="41"/>
      <c r="L40" s="42"/>
      <c r="M40" s="42"/>
      <c r="N40" s="41"/>
      <c r="O40" s="42"/>
      <c r="P40" s="42"/>
      <c r="Q40" s="41"/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8" outlineLevel="1" spans="1:29">
      <c r="A41" s="30"/>
      <c r="B41" s="30"/>
      <c r="C41" s="30"/>
      <c r="D41" s="31"/>
      <c r="E41" s="31"/>
      <c r="F41" s="30"/>
      <c r="G41" s="32"/>
      <c r="H41" s="33"/>
      <c r="I41" s="33"/>
      <c r="J41" s="42"/>
      <c r="K41" s="41"/>
      <c r="L41" s="42"/>
      <c r="M41" s="42"/>
      <c r="N41" s="41"/>
      <c r="O41" s="42"/>
      <c r="P41" s="42"/>
      <c r="Q41" s="41"/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8" outlineLevel="1" spans="1:29">
      <c r="A42" s="30"/>
      <c r="B42" s="30"/>
      <c r="C42" s="30"/>
      <c r="D42" s="31"/>
      <c r="E42" s="31"/>
      <c r="F42" s="30"/>
      <c r="G42" s="32"/>
      <c r="H42" s="33"/>
      <c r="I42" s="33"/>
      <c r="J42" s="42"/>
      <c r="K42" s="41"/>
      <c r="L42" s="42"/>
      <c r="M42" s="42"/>
      <c r="N42" s="41"/>
      <c r="O42" s="42"/>
      <c r="P42" s="42"/>
      <c r="Q42" s="41"/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8" outlineLevel="1" spans="1:29">
      <c r="A43" s="30"/>
      <c r="B43" s="30"/>
      <c r="C43" s="30"/>
      <c r="D43" s="31"/>
      <c r="E43" s="31"/>
      <c r="F43" s="30"/>
      <c r="G43" s="32"/>
      <c r="H43" s="33"/>
      <c r="I43" s="33"/>
      <c r="J43" s="42"/>
      <c r="K43" s="41"/>
      <c r="L43" s="42"/>
      <c r="M43" s="42"/>
      <c r="N43" s="41"/>
      <c r="O43" s="42"/>
      <c r="P43" s="42"/>
      <c r="Q43" s="41"/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8" outlineLevel="1" spans="1:29">
      <c r="A44" s="30"/>
      <c r="B44" s="30"/>
      <c r="C44" s="30"/>
      <c r="D44" s="31"/>
      <c r="E44" s="31"/>
      <c r="F44" s="30"/>
      <c r="G44" s="32"/>
      <c r="H44" s="33"/>
      <c r="I44" s="33"/>
      <c r="J44" s="42"/>
      <c r="K44" s="41"/>
      <c r="L44" s="42"/>
      <c r="M44" s="42"/>
      <c r="N44" s="41"/>
      <c r="O44" s="42"/>
      <c r="P44" s="42"/>
      <c r="Q44" s="41"/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8" outlineLevel="1" spans="1:29">
      <c r="A45" s="30"/>
      <c r="B45" s="30"/>
      <c r="C45" s="30"/>
      <c r="D45" s="31"/>
      <c r="E45" s="31"/>
      <c r="F45" s="30"/>
      <c r="G45" s="32"/>
      <c r="H45" s="33"/>
      <c r="I45" s="33"/>
      <c r="J45" s="42"/>
      <c r="K45" s="41"/>
      <c r="L45" s="42"/>
      <c r="M45" s="42"/>
      <c r="N45" s="41"/>
      <c r="O45" s="42"/>
      <c r="P45" s="42"/>
      <c r="Q45" s="41"/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8" outlineLevel="1" spans="1:29">
      <c r="A46" s="30"/>
      <c r="B46" s="30"/>
      <c r="C46" s="30"/>
      <c r="D46" s="31"/>
      <c r="E46" s="31"/>
      <c r="F46" s="30"/>
      <c r="G46" s="32"/>
      <c r="H46" s="33"/>
      <c r="I46" s="33"/>
      <c r="J46" s="42"/>
      <c r="K46" s="41"/>
      <c r="L46" s="42"/>
      <c r="M46" s="42"/>
      <c r="N46" s="41"/>
      <c r="O46" s="42"/>
      <c r="P46" s="42"/>
      <c r="Q46" s="41"/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8" outlineLevel="1" spans="1:29">
      <c r="A47" s="30"/>
      <c r="B47" s="30"/>
      <c r="C47" s="30"/>
      <c r="D47" s="31"/>
      <c r="E47" s="31"/>
      <c r="F47" s="30"/>
      <c r="G47" s="32"/>
      <c r="H47" s="33"/>
      <c r="I47" s="33"/>
      <c r="J47" s="42"/>
      <c r="K47" s="41"/>
      <c r="L47" s="42"/>
      <c r="M47" s="42"/>
      <c r="N47" s="41"/>
      <c r="O47" s="42"/>
      <c r="P47" s="42"/>
      <c r="Q47" s="41"/>
      <c r="R47" s="30"/>
      <c r="S47" s="43"/>
      <c r="T47" s="53"/>
      <c r="U47" s="43"/>
      <c r="V47" s="43"/>
      <c r="W47" s="43"/>
      <c r="X47" s="43"/>
      <c r="Y47" s="43"/>
      <c r="Z47" s="43"/>
      <c r="AA47" s="43"/>
      <c r="AB47" s="43"/>
      <c r="AC47" s="43"/>
    </row>
    <row r="48" ht="13.8" outlineLevel="1" spans="1:29">
      <c r="A48" s="30"/>
      <c r="B48" s="30"/>
      <c r="C48" s="30"/>
      <c r="D48" s="31"/>
      <c r="E48" s="31"/>
      <c r="F48" s="30"/>
      <c r="G48" s="32"/>
      <c r="H48" s="33"/>
      <c r="I48" s="33"/>
      <c r="J48" s="42"/>
      <c r="K48" s="41"/>
      <c r="L48" s="42"/>
      <c r="M48" s="42"/>
      <c r="N48" s="41"/>
      <c r="O48" s="42"/>
      <c r="P48" s="42"/>
      <c r="Q48" s="41"/>
      <c r="R48" s="30"/>
      <c r="S48" s="43"/>
      <c r="T48" s="53"/>
      <c r="U48" s="43"/>
      <c r="V48" s="43"/>
      <c r="W48" s="43"/>
      <c r="X48" s="43"/>
      <c r="Y48" s="43"/>
      <c r="Z48" s="43"/>
      <c r="AA48" s="43"/>
      <c r="AB48" s="43"/>
      <c r="AC48" s="43"/>
    </row>
    <row r="49" ht="13.8" spans="1:29">
      <c r="A49" s="30"/>
      <c r="B49" s="30"/>
      <c r="C49" s="30"/>
      <c r="D49" s="31"/>
      <c r="E49" s="31"/>
      <c r="F49" s="30"/>
      <c r="G49" s="32"/>
      <c r="H49" s="33"/>
      <c r="I49" s="33"/>
      <c r="J49" s="42"/>
      <c r="K49" s="41"/>
      <c r="L49" s="42"/>
      <c r="M49" s="42"/>
      <c r="N49" s="41"/>
      <c r="O49" s="42"/>
      <c r="P49" s="42"/>
      <c r="Q49" s="41"/>
      <c r="R49" s="30"/>
      <c r="S49" s="47"/>
      <c r="T49" s="51"/>
      <c r="U49" s="47"/>
      <c r="V49" s="47"/>
      <c r="W49" s="47"/>
      <c r="X49" s="47"/>
      <c r="Y49" s="47"/>
      <c r="Z49" s="47"/>
      <c r="AA49" s="47"/>
      <c r="AB49" s="47"/>
      <c r="AC49" s="47"/>
    </row>
    <row r="50" ht="13.8" spans="1:29">
      <c r="A50" s="30"/>
      <c r="B50" s="30"/>
      <c r="C50" s="30"/>
      <c r="D50" s="31"/>
      <c r="E50" s="31"/>
      <c r="F50" s="30"/>
      <c r="G50" s="32"/>
      <c r="H50" s="33"/>
      <c r="I50" s="33"/>
      <c r="J50" s="42"/>
      <c r="K50" s="41"/>
      <c r="L50" s="42"/>
      <c r="M50" s="42"/>
      <c r="N50" s="41"/>
      <c r="O50" s="42"/>
      <c r="P50" s="42"/>
      <c r="Q50" s="41"/>
      <c r="R50" s="30"/>
      <c r="S50" s="54"/>
      <c r="T50" s="55"/>
      <c r="U50" s="54"/>
      <c r="V50" s="54"/>
      <c r="W50" s="54"/>
      <c r="X50" s="54"/>
      <c r="Y50" s="54"/>
      <c r="Z50" s="54"/>
      <c r="AA50" s="54"/>
      <c r="AB50" s="54"/>
      <c r="AC50" s="54"/>
    </row>
    <row r="51" ht="13.8" spans="1:29">
      <c r="A51" s="30"/>
      <c r="B51" s="30"/>
      <c r="C51" s="30"/>
      <c r="D51" s="31"/>
      <c r="E51" s="31"/>
      <c r="F51" s="30"/>
      <c r="G51" s="32"/>
      <c r="H51" s="33"/>
      <c r="I51" s="33"/>
      <c r="J51" s="42"/>
      <c r="K51" s="41"/>
      <c r="L51" s="42"/>
      <c r="M51" s="42"/>
      <c r="N51" s="41"/>
      <c r="O51" s="42"/>
      <c r="P51" s="42"/>
      <c r="Q51" s="41"/>
      <c r="R51" s="30"/>
      <c r="S51" s="54"/>
      <c r="T51" s="55"/>
      <c r="U51" s="54"/>
      <c r="V51" s="54"/>
      <c r="W51" s="54"/>
      <c r="X51" s="54"/>
      <c r="Y51" s="54"/>
      <c r="Z51" s="54"/>
      <c r="AA51" s="54"/>
      <c r="AB51" s="54"/>
      <c r="AC51" s="54"/>
    </row>
    <row r="52" ht="13.8" outlineLevel="1" spans="1:29">
      <c r="A52" s="30"/>
      <c r="B52" s="30"/>
      <c r="C52" s="30"/>
      <c r="D52" s="31"/>
      <c r="E52" s="31"/>
      <c r="F52" s="30"/>
      <c r="G52" s="32"/>
      <c r="H52" s="33"/>
      <c r="I52" s="33"/>
      <c r="J52" s="42"/>
      <c r="K52" s="41"/>
      <c r="L52" s="42"/>
      <c r="M52" s="42"/>
      <c r="N52" s="41"/>
      <c r="O52" s="42"/>
      <c r="P52" s="42"/>
      <c r="Q52" s="41"/>
      <c r="R52" s="30"/>
      <c r="S52" s="37"/>
      <c r="T52" s="56"/>
      <c r="U52" s="37"/>
      <c r="V52" s="37"/>
      <c r="W52" s="37"/>
      <c r="X52" s="37"/>
      <c r="Y52" s="37"/>
      <c r="Z52" s="37"/>
      <c r="AA52" s="37"/>
      <c r="AB52" s="37"/>
      <c r="AC52" s="37"/>
    </row>
    <row r="53" ht="13.8" outlineLevel="1" spans="1:29">
      <c r="A53" s="30"/>
      <c r="B53" s="30"/>
      <c r="C53" s="30"/>
      <c r="D53" s="31"/>
      <c r="E53" s="31"/>
      <c r="F53" s="30"/>
      <c r="G53" s="32"/>
      <c r="H53" s="33"/>
      <c r="I53" s="33"/>
      <c r="J53" s="42"/>
      <c r="K53" s="41"/>
      <c r="L53" s="42"/>
      <c r="M53" s="42"/>
      <c r="N53" s="41"/>
      <c r="O53" s="42"/>
      <c r="P53" s="42"/>
      <c r="Q53" s="41"/>
      <c r="R53" s="30"/>
      <c r="S53" s="37"/>
      <c r="T53" s="56"/>
      <c r="U53" s="37"/>
      <c r="V53" s="37"/>
      <c r="W53" s="37"/>
      <c r="X53" s="37"/>
      <c r="Y53" s="37"/>
      <c r="Z53" s="37"/>
      <c r="AA53" s="37"/>
      <c r="AB53" s="37"/>
      <c r="AC53" s="37"/>
    </row>
    <row r="54" ht="64.5" customHeight="1" outlineLevel="1" spans="1:29">
      <c r="A54" s="62"/>
      <c r="B54" s="62"/>
      <c r="C54" s="62"/>
      <c r="D54" s="63"/>
      <c r="E54" s="63"/>
      <c r="F54" s="62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62"/>
      <c r="S54" s="37"/>
      <c r="T54" s="57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62"/>
      <c r="B55" s="62"/>
      <c r="C55" s="62"/>
      <c r="D55" s="63"/>
      <c r="E55" s="63"/>
      <c r="F55" s="62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67"/>
      <c r="S55" s="54"/>
      <c r="T55" s="55"/>
      <c r="U55" s="54"/>
      <c r="V55" s="54"/>
      <c r="W55" s="54"/>
      <c r="X55" s="54"/>
      <c r="Y55" s="54"/>
      <c r="Z55" s="54"/>
      <c r="AA55" s="54"/>
      <c r="AB55" s="54"/>
      <c r="AC55" s="54"/>
    </row>
    <row r="56" ht="64.5" customHeight="1" outlineLevel="1" spans="1:29">
      <c r="A56" s="62"/>
      <c r="B56" s="62"/>
      <c r="C56" s="62"/>
      <c r="D56" s="63"/>
      <c r="E56" s="63"/>
      <c r="F56" s="62"/>
      <c r="G56" s="1"/>
      <c r="H56" s="64"/>
      <c r="I56" s="64"/>
      <c r="J56" s="1"/>
      <c r="K56" s="1"/>
      <c r="L56" s="1"/>
      <c r="M56" s="1"/>
      <c r="N56" s="1"/>
      <c r="O56" s="1"/>
      <c r="P56" s="1"/>
      <c r="Q56" s="1"/>
      <c r="R56" s="67"/>
      <c r="S56" s="37"/>
      <c r="T56" s="56"/>
      <c r="U56" s="37"/>
      <c r="V56" s="37"/>
      <c r="W56" s="37"/>
      <c r="X56" s="37"/>
      <c r="Y56" s="37"/>
      <c r="Z56" s="37"/>
      <c r="AA56" s="37"/>
      <c r="AB56" s="37"/>
      <c r="AC56" s="37"/>
    </row>
    <row r="57" ht="64.5" customHeight="1" spans="1:29">
      <c r="A57" s="62"/>
      <c r="B57" s="62"/>
      <c r="C57" s="62"/>
      <c r="D57" s="65"/>
      <c r="E57" s="65"/>
      <c r="F57" s="66"/>
      <c r="G57" s="1"/>
      <c r="H57" s="64"/>
      <c r="I57" s="64"/>
      <c r="J57" s="1"/>
      <c r="K57" s="1"/>
      <c r="L57" s="1"/>
      <c r="M57" s="1"/>
      <c r="N57" s="1"/>
      <c r="O57" s="1"/>
      <c r="P57" s="1"/>
      <c r="Q57" s="1"/>
      <c r="R57" s="66"/>
      <c r="S57" s="37"/>
      <c r="T57" s="57"/>
      <c r="U57" s="37"/>
      <c r="V57" s="37"/>
      <c r="W57" s="37"/>
      <c r="X57" s="37"/>
      <c r="Y57" s="37"/>
      <c r="Z57" s="37"/>
      <c r="AA57" s="37"/>
      <c r="AB57" s="37"/>
      <c r="AC57" s="37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37"/>
      <c r="C228" s="38"/>
      <c r="D228" s="39"/>
      <c r="E228" s="39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37"/>
      <c r="C229" s="38"/>
      <c r="D229" s="39"/>
      <c r="E229" s="39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2.75" customHeight="1" spans="1:29">
      <c r="A252" s="37"/>
      <c r="B252" s="43"/>
      <c r="C252" s="58"/>
      <c r="D252" s="59"/>
      <c r="E252" s="59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2.75" customHeight="1" spans="1:29">
      <c r="A253" s="37"/>
      <c r="B253" s="43"/>
      <c r="C253" s="58"/>
      <c r="D253" s="59"/>
      <c r="E253" s="59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7:H57 G11:G56 H2:H3 L11:L57 M2:M3 O11:O5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26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91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COUNTA(B11:B960)-COUNTIF($N11:$N960,"Skip")</f>
        <v>20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COUNTIF($G11:$G960,C5)</f>
        <v>20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COUNTIF($L11:$L960,C5)</f>
        <v>20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COUNTIF($O11:$O960,C5)</f>
        <v>20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409.5" spans="1:29">
      <c r="A11" s="30" t="s">
        <v>90</v>
      </c>
      <c r="B11" s="30" t="s">
        <v>837</v>
      </c>
      <c r="C11" s="30" t="s">
        <v>838</v>
      </c>
      <c r="D11" s="31" t="s">
        <v>277</v>
      </c>
      <c r="E11" s="31" t="s">
        <v>839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4</v>
      </c>
      <c r="L11" s="42" t="s">
        <v>209</v>
      </c>
      <c r="M11" s="40">
        <v>45993</v>
      </c>
      <c r="N11" s="41" t="s">
        <v>4</v>
      </c>
      <c r="O11" s="42" t="s">
        <v>209</v>
      </c>
      <c r="P11" s="40">
        <v>45995</v>
      </c>
      <c r="Q11" s="41" t="s">
        <v>4</v>
      </c>
      <c r="R11" s="4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409.5" spans="1:29">
      <c r="A12" s="30" t="s">
        <v>90</v>
      </c>
      <c r="B12" s="30" t="s">
        <v>840</v>
      </c>
      <c r="C12" s="30" t="s">
        <v>841</v>
      </c>
      <c r="D12" s="31" t="s">
        <v>842</v>
      </c>
      <c r="E12" s="31" t="s">
        <v>843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4</v>
      </c>
      <c r="L12" s="42" t="s">
        <v>209</v>
      </c>
      <c r="M12" s="40">
        <v>45993</v>
      </c>
      <c r="N12" s="41" t="s">
        <v>4</v>
      </c>
      <c r="O12" s="42" t="s">
        <v>209</v>
      </c>
      <c r="P12" s="40">
        <v>45995</v>
      </c>
      <c r="Q12" s="41" t="s">
        <v>4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39.6" spans="1:29">
      <c r="A13" s="30" t="s">
        <v>90</v>
      </c>
      <c r="B13" s="30" t="s">
        <v>844</v>
      </c>
      <c r="C13" s="30" t="s">
        <v>845</v>
      </c>
      <c r="D13" s="31" t="s">
        <v>281</v>
      </c>
      <c r="E13" s="31" t="s">
        <v>342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4</v>
      </c>
      <c r="L13" s="42" t="s">
        <v>209</v>
      </c>
      <c r="M13" s="40">
        <v>45993</v>
      </c>
      <c r="N13" s="41" t="s">
        <v>4</v>
      </c>
      <c r="O13" s="42" t="s">
        <v>209</v>
      </c>
      <c r="P13" s="40">
        <v>45995</v>
      </c>
      <c r="Q13" s="41" t="s">
        <v>4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52.8" spans="1:29">
      <c r="A14" s="30" t="s">
        <v>92</v>
      </c>
      <c r="B14" s="30" t="s">
        <v>846</v>
      </c>
      <c r="C14" s="30" t="s">
        <v>847</v>
      </c>
      <c r="D14" s="31" t="s">
        <v>277</v>
      </c>
      <c r="E14" s="31" t="s">
        <v>848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4</v>
      </c>
      <c r="L14" s="42" t="s">
        <v>209</v>
      </c>
      <c r="M14" s="40">
        <v>45993</v>
      </c>
      <c r="N14" s="41" t="s">
        <v>4</v>
      </c>
      <c r="O14" s="42" t="s">
        <v>209</v>
      </c>
      <c r="P14" s="40">
        <v>45995</v>
      </c>
      <c r="Q14" s="41" t="s">
        <v>4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52.8" spans="1:29">
      <c r="A15" s="30" t="s">
        <v>92</v>
      </c>
      <c r="B15" s="30" t="s">
        <v>849</v>
      </c>
      <c r="C15" s="30" t="s">
        <v>850</v>
      </c>
      <c r="D15" s="31" t="s">
        <v>281</v>
      </c>
      <c r="E15" s="31" t="s">
        <v>851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4</v>
      </c>
      <c r="L15" s="42" t="s">
        <v>209</v>
      </c>
      <c r="M15" s="40">
        <v>45993</v>
      </c>
      <c r="N15" s="41" t="s">
        <v>4</v>
      </c>
      <c r="O15" s="42" t="s">
        <v>209</v>
      </c>
      <c r="P15" s="40">
        <v>45995</v>
      </c>
      <c r="Q15" s="41" t="s">
        <v>4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52.8" spans="1:29">
      <c r="A16" s="30" t="s">
        <v>92</v>
      </c>
      <c r="B16" s="30" t="s">
        <v>852</v>
      </c>
      <c r="C16" s="30" t="s">
        <v>853</v>
      </c>
      <c r="D16" s="31" t="s">
        <v>288</v>
      </c>
      <c r="E16" s="31" t="s">
        <v>854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4</v>
      </c>
      <c r="L16" s="42" t="s">
        <v>209</v>
      </c>
      <c r="M16" s="40">
        <v>45993</v>
      </c>
      <c r="N16" s="41" t="s">
        <v>4</v>
      </c>
      <c r="O16" s="42" t="s">
        <v>209</v>
      </c>
      <c r="P16" s="40">
        <v>45995</v>
      </c>
      <c r="Q16" s="41" t="s">
        <v>4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118.8" spans="1:29">
      <c r="A17" s="30" t="s">
        <v>93</v>
      </c>
      <c r="B17" s="30" t="s">
        <v>855</v>
      </c>
      <c r="C17" s="30" t="s">
        <v>856</v>
      </c>
      <c r="D17" s="31" t="s">
        <v>857</v>
      </c>
      <c r="E17" s="31" t="s">
        <v>858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4</v>
      </c>
      <c r="L17" s="42" t="s">
        <v>209</v>
      </c>
      <c r="M17" s="40">
        <v>45993</v>
      </c>
      <c r="N17" s="41" t="s">
        <v>4</v>
      </c>
      <c r="O17" s="42" t="s">
        <v>209</v>
      </c>
      <c r="P17" s="40">
        <v>45995</v>
      </c>
      <c r="Q17" s="41" t="s">
        <v>4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26.4" spans="1:29">
      <c r="A18" s="30" t="s">
        <v>93</v>
      </c>
      <c r="B18" s="30" t="s">
        <v>859</v>
      </c>
      <c r="C18" s="30" t="s">
        <v>860</v>
      </c>
      <c r="D18" s="31" t="s">
        <v>861</v>
      </c>
      <c r="E18" s="31" t="s">
        <v>862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4</v>
      </c>
      <c r="L18" s="42" t="s">
        <v>209</v>
      </c>
      <c r="M18" s="40">
        <v>45993</v>
      </c>
      <c r="N18" s="41" t="s">
        <v>4</v>
      </c>
      <c r="O18" s="42" t="s">
        <v>209</v>
      </c>
      <c r="P18" s="40">
        <v>45995</v>
      </c>
      <c r="Q18" s="41" t="s">
        <v>4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26.4" spans="1:29">
      <c r="A19" s="30" t="s">
        <v>93</v>
      </c>
      <c r="B19" s="30" t="s">
        <v>863</v>
      </c>
      <c r="C19" s="30" t="s">
        <v>864</v>
      </c>
      <c r="D19" s="31" t="s">
        <v>865</v>
      </c>
      <c r="E19" s="31" t="s">
        <v>866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4</v>
      </c>
      <c r="L19" s="42" t="s">
        <v>209</v>
      </c>
      <c r="M19" s="40">
        <v>45993</v>
      </c>
      <c r="N19" s="41" t="s">
        <v>4</v>
      </c>
      <c r="O19" s="42" t="s">
        <v>209</v>
      </c>
      <c r="P19" s="40">
        <v>45995</v>
      </c>
      <c r="Q19" s="41" t="s">
        <v>4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26.4" spans="1:29">
      <c r="A20" s="30" t="s">
        <v>93</v>
      </c>
      <c r="B20" s="30" t="s">
        <v>867</v>
      </c>
      <c r="C20" s="30" t="s">
        <v>868</v>
      </c>
      <c r="D20" s="31" t="s">
        <v>861</v>
      </c>
      <c r="E20" s="31" t="s">
        <v>869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4</v>
      </c>
      <c r="L20" s="42" t="s">
        <v>209</v>
      </c>
      <c r="M20" s="40">
        <v>45993</v>
      </c>
      <c r="N20" s="41" t="s">
        <v>4</v>
      </c>
      <c r="O20" s="42" t="s">
        <v>209</v>
      </c>
      <c r="P20" s="40">
        <v>45995</v>
      </c>
      <c r="Q20" s="41" t="s">
        <v>4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39.6" spans="1:29">
      <c r="A21" s="30" t="s">
        <v>93</v>
      </c>
      <c r="B21" s="30" t="s">
        <v>870</v>
      </c>
      <c r="C21" s="30" t="s">
        <v>871</v>
      </c>
      <c r="D21" s="31" t="s">
        <v>861</v>
      </c>
      <c r="E21" s="31" t="s">
        <v>872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4</v>
      </c>
      <c r="L21" s="42" t="s">
        <v>209</v>
      </c>
      <c r="M21" s="40">
        <v>45993</v>
      </c>
      <c r="N21" s="41" t="s">
        <v>4</v>
      </c>
      <c r="O21" s="42" t="s">
        <v>209</v>
      </c>
      <c r="P21" s="40">
        <v>45995</v>
      </c>
      <c r="Q21" s="41" t="s">
        <v>4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79.2" spans="1:29">
      <c r="A22" s="30" t="s">
        <v>94</v>
      </c>
      <c r="B22" s="30" t="s">
        <v>873</v>
      </c>
      <c r="C22" s="30" t="s">
        <v>874</v>
      </c>
      <c r="D22" s="31" t="s">
        <v>875</v>
      </c>
      <c r="E22" s="31" t="s">
        <v>876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4</v>
      </c>
      <c r="L22" s="42" t="s">
        <v>209</v>
      </c>
      <c r="M22" s="40">
        <v>45993</v>
      </c>
      <c r="N22" s="41" t="s">
        <v>4</v>
      </c>
      <c r="O22" s="42" t="s">
        <v>209</v>
      </c>
      <c r="P22" s="40">
        <v>45995</v>
      </c>
      <c r="Q22" s="41" t="s">
        <v>4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52.8" spans="1:29">
      <c r="A23" s="30" t="s">
        <v>94</v>
      </c>
      <c r="B23" s="30" t="s">
        <v>877</v>
      </c>
      <c r="C23" s="30" t="s">
        <v>878</v>
      </c>
      <c r="D23" s="31" t="s">
        <v>879</v>
      </c>
      <c r="E23" s="31" t="s">
        <v>880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4</v>
      </c>
      <c r="L23" s="42" t="s">
        <v>209</v>
      </c>
      <c r="M23" s="40">
        <v>45993</v>
      </c>
      <c r="N23" s="41" t="s">
        <v>4</v>
      </c>
      <c r="O23" s="42" t="s">
        <v>209</v>
      </c>
      <c r="P23" s="40">
        <v>45995</v>
      </c>
      <c r="Q23" s="41" t="s">
        <v>4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26.4" spans="1:29">
      <c r="A24" s="30" t="s">
        <v>94</v>
      </c>
      <c r="B24" s="30" t="s">
        <v>881</v>
      </c>
      <c r="C24" s="30" t="s">
        <v>882</v>
      </c>
      <c r="D24" s="31" t="s">
        <v>883</v>
      </c>
      <c r="E24" s="31" t="s">
        <v>884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4</v>
      </c>
      <c r="L24" s="42" t="s">
        <v>209</v>
      </c>
      <c r="M24" s="40">
        <v>45993</v>
      </c>
      <c r="N24" s="41" t="s">
        <v>4</v>
      </c>
      <c r="O24" s="42" t="s">
        <v>209</v>
      </c>
      <c r="P24" s="40">
        <v>45995</v>
      </c>
      <c r="Q24" s="41" t="s">
        <v>4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13.8" spans="1:29">
      <c r="A25" s="30" t="s">
        <v>94</v>
      </c>
      <c r="B25" s="30" t="s">
        <v>885</v>
      </c>
      <c r="C25" s="30" t="s">
        <v>886</v>
      </c>
      <c r="D25" s="31" t="s">
        <v>887</v>
      </c>
      <c r="E25" s="31" t="s">
        <v>888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4</v>
      </c>
      <c r="L25" s="42" t="s">
        <v>209</v>
      </c>
      <c r="M25" s="40">
        <v>45993</v>
      </c>
      <c r="N25" s="41" t="s">
        <v>4</v>
      </c>
      <c r="O25" s="42" t="s">
        <v>209</v>
      </c>
      <c r="P25" s="40">
        <v>45995</v>
      </c>
      <c r="Q25" s="41" t="s">
        <v>4</v>
      </c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13.8" outlineLevel="1" spans="1:29">
      <c r="A26" s="30" t="s">
        <v>94</v>
      </c>
      <c r="B26" s="30" t="s">
        <v>889</v>
      </c>
      <c r="C26" s="30" t="s">
        <v>890</v>
      </c>
      <c r="D26" s="31" t="s">
        <v>891</v>
      </c>
      <c r="E26" s="31" t="s">
        <v>892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4</v>
      </c>
      <c r="L26" s="42" t="s">
        <v>209</v>
      </c>
      <c r="M26" s="40">
        <v>45993</v>
      </c>
      <c r="N26" s="41" t="s">
        <v>4</v>
      </c>
      <c r="O26" s="42" t="s">
        <v>209</v>
      </c>
      <c r="P26" s="40">
        <v>45995</v>
      </c>
      <c r="Q26" s="41" t="s">
        <v>4</v>
      </c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52.8" outlineLevel="1" spans="1:29">
      <c r="A27" s="30" t="s">
        <v>95</v>
      </c>
      <c r="B27" s="30" t="s">
        <v>893</v>
      </c>
      <c r="C27" s="30" t="s">
        <v>894</v>
      </c>
      <c r="D27" s="31" t="s">
        <v>277</v>
      </c>
      <c r="E27" s="31" t="s">
        <v>895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4</v>
      </c>
      <c r="L27" s="42" t="s">
        <v>209</v>
      </c>
      <c r="M27" s="40">
        <v>45993</v>
      </c>
      <c r="N27" s="41" t="s">
        <v>4</v>
      </c>
      <c r="O27" s="42" t="s">
        <v>209</v>
      </c>
      <c r="P27" s="40">
        <v>45995</v>
      </c>
      <c r="Q27" s="41" t="s">
        <v>4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52.8" outlineLevel="1" spans="1:29">
      <c r="A28" s="30" t="s">
        <v>95</v>
      </c>
      <c r="B28" s="30" t="s">
        <v>896</v>
      </c>
      <c r="C28" s="30" t="s">
        <v>897</v>
      </c>
      <c r="D28" s="31" t="s">
        <v>842</v>
      </c>
      <c r="E28" s="31" t="s">
        <v>898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4</v>
      </c>
      <c r="L28" s="42" t="s">
        <v>209</v>
      </c>
      <c r="M28" s="40">
        <v>45993</v>
      </c>
      <c r="N28" s="41" t="s">
        <v>4</v>
      </c>
      <c r="O28" s="42" t="s">
        <v>209</v>
      </c>
      <c r="P28" s="40">
        <v>45995</v>
      </c>
      <c r="Q28" s="41" t="s">
        <v>4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52.8" outlineLevel="1" spans="1:29">
      <c r="A29" s="30" t="s">
        <v>95</v>
      </c>
      <c r="B29" s="30" t="s">
        <v>899</v>
      </c>
      <c r="C29" s="30" t="s">
        <v>900</v>
      </c>
      <c r="D29" s="31" t="s">
        <v>281</v>
      </c>
      <c r="E29" s="31" t="s">
        <v>901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4</v>
      </c>
      <c r="L29" s="42" t="s">
        <v>209</v>
      </c>
      <c r="M29" s="40">
        <v>45993</v>
      </c>
      <c r="N29" s="41" t="s">
        <v>4</v>
      </c>
      <c r="O29" s="42" t="s">
        <v>209</v>
      </c>
      <c r="P29" s="40">
        <v>45995</v>
      </c>
      <c r="Q29" s="41" t="s">
        <v>4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52.8" outlineLevel="1" spans="1:29">
      <c r="A30" s="30" t="s">
        <v>95</v>
      </c>
      <c r="B30" s="30" t="s">
        <v>902</v>
      </c>
      <c r="C30" s="30" t="s">
        <v>903</v>
      </c>
      <c r="D30" s="31" t="s">
        <v>904</v>
      </c>
      <c r="E30" s="31" t="s">
        <v>901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4</v>
      </c>
      <c r="L30" s="42" t="s">
        <v>209</v>
      </c>
      <c r="M30" s="40">
        <v>45993</v>
      </c>
      <c r="N30" s="41" t="s">
        <v>4</v>
      </c>
      <c r="O30" s="42" t="s">
        <v>209</v>
      </c>
      <c r="P30" s="40">
        <v>45995</v>
      </c>
      <c r="Q30" s="41" t="s">
        <v>4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13.8" outlineLevel="1" spans="1:29">
      <c r="A31" s="30"/>
      <c r="B31" s="30"/>
      <c r="C31" s="30"/>
      <c r="D31" s="31"/>
      <c r="E31" s="31"/>
      <c r="F31" s="30"/>
      <c r="G31" s="32"/>
      <c r="H31" s="33"/>
      <c r="I31" s="33"/>
      <c r="J31" s="40"/>
      <c r="K31" s="41"/>
      <c r="L31" s="42"/>
      <c r="M31" s="40"/>
      <c r="N31" s="41"/>
      <c r="O31" s="42"/>
      <c r="P31" s="40"/>
      <c r="Q31" s="41"/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13.8" outlineLevel="1" spans="1:29">
      <c r="A32" s="30"/>
      <c r="B32" s="30"/>
      <c r="C32" s="30"/>
      <c r="D32" s="31"/>
      <c r="E32" s="31"/>
      <c r="F32" s="30"/>
      <c r="G32" s="32"/>
      <c r="H32" s="33"/>
      <c r="I32" s="33"/>
      <c r="J32" s="40"/>
      <c r="K32" s="41"/>
      <c r="L32" s="42"/>
      <c r="M32" s="40"/>
      <c r="N32" s="41"/>
      <c r="O32" s="42"/>
      <c r="P32" s="40"/>
      <c r="Q32" s="41"/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3.8" outlineLevel="1" spans="1:29">
      <c r="A33" s="30"/>
      <c r="B33" s="30"/>
      <c r="C33" s="30"/>
      <c r="D33" s="31"/>
      <c r="E33" s="31"/>
      <c r="F33" s="30"/>
      <c r="G33" s="32"/>
      <c r="H33" s="33"/>
      <c r="I33" s="33"/>
      <c r="J33" s="40"/>
      <c r="K33" s="41"/>
      <c r="L33" s="42"/>
      <c r="M33" s="40"/>
      <c r="N33" s="41"/>
      <c r="O33" s="42"/>
      <c r="P33" s="40"/>
      <c r="Q33" s="41"/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3.8" outlineLevel="1" spans="1:29">
      <c r="A34" s="30"/>
      <c r="B34" s="30"/>
      <c r="C34" s="30"/>
      <c r="D34" s="31"/>
      <c r="E34" s="31"/>
      <c r="F34" s="30"/>
      <c r="G34" s="32"/>
      <c r="H34" s="33"/>
      <c r="I34" s="33"/>
      <c r="J34" s="40"/>
      <c r="K34" s="41"/>
      <c r="L34" s="42"/>
      <c r="M34" s="40"/>
      <c r="N34" s="41"/>
      <c r="O34" s="42"/>
      <c r="P34" s="40"/>
      <c r="Q34" s="41"/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3.8" outlineLevel="1" spans="1:29">
      <c r="A35" s="30"/>
      <c r="B35" s="30"/>
      <c r="C35" s="30"/>
      <c r="D35" s="31"/>
      <c r="E35" s="31"/>
      <c r="F35" s="30"/>
      <c r="G35" s="32"/>
      <c r="H35" s="33"/>
      <c r="I35" s="33"/>
      <c r="J35" s="40"/>
      <c r="K35" s="41"/>
      <c r="L35" s="42"/>
      <c r="M35" s="40"/>
      <c r="N35" s="41"/>
      <c r="O35" s="42"/>
      <c r="P35" s="40"/>
      <c r="Q35" s="41"/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3.8" outlineLevel="1" spans="1:29">
      <c r="A36" s="30"/>
      <c r="B36" s="30"/>
      <c r="C36" s="30"/>
      <c r="D36" s="31"/>
      <c r="E36" s="31"/>
      <c r="F36" s="30"/>
      <c r="G36" s="32"/>
      <c r="H36" s="33"/>
      <c r="I36" s="33"/>
      <c r="J36" s="40"/>
      <c r="K36" s="41"/>
      <c r="L36" s="42"/>
      <c r="M36" s="40"/>
      <c r="N36" s="41"/>
      <c r="O36" s="42"/>
      <c r="P36" s="40"/>
      <c r="Q36" s="41"/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3.8" outlineLevel="1" spans="1:29">
      <c r="A37" s="30"/>
      <c r="B37" s="30"/>
      <c r="C37" s="30"/>
      <c r="D37" s="31"/>
      <c r="E37" s="31"/>
      <c r="F37" s="30"/>
      <c r="G37" s="32"/>
      <c r="H37" s="33"/>
      <c r="I37" s="33"/>
      <c r="J37" s="40"/>
      <c r="K37" s="41"/>
      <c r="L37" s="42"/>
      <c r="M37" s="40"/>
      <c r="N37" s="41"/>
      <c r="O37" s="42"/>
      <c r="P37" s="40"/>
      <c r="Q37" s="41"/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8" outlineLevel="1" spans="1:29">
      <c r="A38" s="30"/>
      <c r="B38" s="30"/>
      <c r="C38" s="30"/>
      <c r="D38" s="31"/>
      <c r="E38" s="31"/>
      <c r="F38" s="30"/>
      <c r="G38" s="32"/>
      <c r="H38" s="33"/>
      <c r="I38" s="33"/>
      <c r="J38" s="42"/>
      <c r="K38" s="41"/>
      <c r="L38" s="42"/>
      <c r="M38" s="42"/>
      <c r="N38" s="41"/>
      <c r="O38" s="42"/>
      <c r="P38" s="42"/>
      <c r="Q38" s="41"/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8" outlineLevel="1" spans="1:29">
      <c r="A39" s="30"/>
      <c r="B39" s="30"/>
      <c r="C39" s="30"/>
      <c r="D39" s="31"/>
      <c r="E39" s="31"/>
      <c r="F39" s="30"/>
      <c r="G39" s="32"/>
      <c r="H39" s="33"/>
      <c r="I39" s="33"/>
      <c r="J39" s="42"/>
      <c r="K39" s="41"/>
      <c r="L39" s="42"/>
      <c r="M39" s="42"/>
      <c r="N39" s="41"/>
      <c r="O39" s="42"/>
      <c r="P39" s="42"/>
      <c r="Q39" s="41"/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8" outlineLevel="1" spans="1:29">
      <c r="A40" s="30"/>
      <c r="B40" s="30"/>
      <c r="C40" s="30"/>
      <c r="D40" s="31"/>
      <c r="E40" s="31"/>
      <c r="F40" s="30"/>
      <c r="G40" s="32"/>
      <c r="H40" s="33"/>
      <c r="I40" s="33"/>
      <c r="J40" s="42"/>
      <c r="K40" s="41"/>
      <c r="L40" s="42"/>
      <c r="M40" s="42"/>
      <c r="N40" s="41"/>
      <c r="O40" s="42"/>
      <c r="P40" s="42"/>
      <c r="Q40" s="41"/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8" outlineLevel="1" spans="1:29">
      <c r="A41" s="30"/>
      <c r="B41" s="30"/>
      <c r="C41" s="30"/>
      <c r="D41" s="31"/>
      <c r="E41" s="31"/>
      <c r="F41" s="30"/>
      <c r="G41" s="32"/>
      <c r="H41" s="33"/>
      <c r="I41" s="33"/>
      <c r="J41" s="42"/>
      <c r="K41" s="41"/>
      <c r="L41" s="42"/>
      <c r="M41" s="42"/>
      <c r="N41" s="41"/>
      <c r="O41" s="42"/>
      <c r="P41" s="42"/>
      <c r="Q41" s="41"/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8" outlineLevel="1" spans="1:29">
      <c r="A42" s="30"/>
      <c r="B42" s="30"/>
      <c r="C42" s="30"/>
      <c r="D42" s="31"/>
      <c r="E42" s="31"/>
      <c r="F42" s="30"/>
      <c r="G42" s="32"/>
      <c r="H42" s="33"/>
      <c r="I42" s="33"/>
      <c r="J42" s="42"/>
      <c r="K42" s="41"/>
      <c r="L42" s="42"/>
      <c r="M42" s="42"/>
      <c r="N42" s="41"/>
      <c r="O42" s="42"/>
      <c r="P42" s="42"/>
      <c r="Q42" s="41"/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8" outlineLevel="1" spans="1:29">
      <c r="A43" s="30"/>
      <c r="B43" s="30"/>
      <c r="C43" s="30"/>
      <c r="D43" s="31"/>
      <c r="E43" s="31"/>
      <c r="F43" s="30"/>
      <c r="G43" s="32"/>
      <c r="H43" s="33"/>
      <c r="I43" s="33"/>
      <c r="J43" s="42"/>
      <c r="K43" s="41"/>
      <c r="L43" s="42"/>
      <c r="M43" s="42"/>
      <c r="N43" s="41"/>
      <c r="O43" s="42"/>
      <c r="P43" s="42"/>
      <c r="Q43" s="41"/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8" outlineLevel="1" spans="1:29">
      <c r="A44" s="30"/>
      <c r="B44" s="30"/>
      <c r="C44" s="30"/>
      <c r="D44" s="31"/>
      <c r="E44" s="31"/>
      <c r="F44" s="30"/>
      <c r="G44" s="32"/>
      <c r="H44" s="33"/>
      <c r="I44" s="33"/>
      <c r="J44" s="42"/>
      <c r="K44" s="41"/>
      <c r="L44" s="42"/>
      <c r="M44" s="42"/>
      <c r="N44" s="41"/>
      <c r="O44" s="42"/>
      <c r="P44" s="42"/>
      <c r="Q44" s="41"/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8" outlineLevel="1" spans="1:29">
      <c r="A45" s="30"/>
      <c r="B45" s="30"/>
      <c r="C45" s="30"/>
      <c r="D45" s="31"/>
      <c r="E45" s="31"/>
      <c r="F45" s="30"/>
      <c r="G45" s="32"/>
      <c r="H45" s="33"/>
      <c r="I45" s="33"/>
      <c r="J45" s="42"/>
      <c r="K45" s="41"/>
      <c r="L45" s="42"/>
      <c r="M45" s="42"/>
      <c r="N45" s="41"/>
      <c r="O45" s="42"/>
      <c r="P45" s="42"/>
      <c r="Q45" s="41"/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8" outlineLevel="1" spans="1:29">
      <c r="A46" s="30"/>
      <c r="B46" s="30"/>
      <c r="C46" s="30"/>
      <c r="D46" s="31"/>
      <c r="E46" s="31"/>
      <c r="F46" s="30"/>
      <c r="G46" s="32"/>
      <c r="H46" s="33"/>
      <c r="I46" s="33"/>
      <c r="J46" s="42"/>
      <c r="K46" s="41"/>
      <c r="L46" s="42"/>
      <c r="M46" s="42"/>
      <c r="N46" s="41"/>
      <c r="O46" s="42"/>
      <c r="P46" s="42"/>
      <c r="Q46" s="41"/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8" outlineLevel="1" spans="1:29">
      <c r="A47" s="30"/>
      <c r="B47" s="30"/>
      <c r="C47" s="30"/>
      <c r="D47" s="31"/>
      <c r="E47" s="31"/>
      <c r="F47" s="30"/>
      <c r="G47" s="32"/>
      <c r="H47" s="33"/>
      <c r="I47" s="33"/>
      <c r="J47" s="42"/>
      <c r="K47" s="41"/>
      <c r="L47" s="42"/>
      <c r="M47" s="42"/>
      <c r="N47" s="41"/>
      <c r="O47" s="42"/>
      <c r="P47" s="42"/>
      <c r="Q47" s="41"/>
      <c r="R47" s="30"/>
      <c r="S47" s="43"/>
      <c r="T47" s="53"/>
      <c r="U47" s="43"/>
      <c r="V47" s="43"/>
      <c r="W47" s="43"/>
      <c r="X47" s="43"/>
      <c r="Y47" s="43"/>
      <c r="Z47" s="43"/>
      <c r="AA47" s="43"/>
      <c r="AB47" s="43"/>
      <c r="AC47" s="43"/>
    </row>
    <row r="48" ht="13.8" outlineLevel="1" spans="1:29">
      <c r="A48" s="30"/>
      <c r="B48" s="30"/>
      <c r="C48" s="30"/>
      <c r="D48" s="31"/>
      <c r="E48" s="31"/>
      <c r="F48" s="30"/>
      <c r="G48" s="32"/>
      <c r="H48" s="33"/>
      <c r="I48" s="33"/>
      <c r="J48" s="42"/>
      <c r="K48" s="41"/>
      <c r="L48" s="42"/>
      <c r="M48" s="42"/>
      <c r="N48" s="41"/>
      <c r="O48" s="42"/>
      <c r="P48" s="42"/>
      <c r="Q48" s="41"/>
      <c r="R48" s="30"/>
      <c r="S48" s="43"/>
      <c r="T48" s="53"/>
      <c r="U48" s="43"/>
      <c r="V48" s="43"/>
      <c r="W48" s="43"/>
      <c r="X48" s="43"/>
      <c r="Y48" s="43"/>
      <c r="Z48" s="43"/>
      <c r="AA48" s="43"/>
      <c r="AB48" s="43"/>
      <c r="AC48" s="43"/>
    </row>
    <row r="49" ht="13.8" spans="1:29">
      <c r="A49" s="30"/>
      <c r="B49" s="30"/>
      <c r="C49" s="30"/>
      <c r="D49" s="31"/>
      <c r="E49" s="31"/>
      <c r="F49" s="30"/>
      <c r="G49" s="32"/>
      <c r="H49" s="33"/>
      <c r="I49" s="33"/>
      <c r="J49" s="42"/>
      <c r="K49" s="41"/>
      <c r="L49" s="42"/>
      <c r="M49" s="42"/>
      <c r="N49" s="41"/>
      <c r="O49" s="42"/>
      <c r="P49" s="42"/>
      <c r="Q49" s="41"/>
      <c r="R49" s="30"/>
      <c r="S49" s="47"/>
      <c r="T49" s="51"/>
      <c r="U49" s="47"/>
      <c r="V49" s="47"/>
      <c r="W49" s="47"/>
      <c r="X49" s="47"/>
      <c r="Y49" s="47"/>
      <c r="Z49" s="47"/>
      <c r="AA49" s="47"/>
      <c r="AB49" s="47"/>
      <c r="AC49" s="47"/>
    </row>
    <row r="50" ht="13.8" spans="1:29">
      <c r="A50" s="30"/>
      <c r="B50" s="30"/>
      <c r="C50" s="30"/>
      <c r="D50" s="31"/>
      <c r="E50" s="31"/>
      <c r="F50" s="30"/>
      <c r="G50" s="32"/>
      <c r="H50" s="33"/>
      <c r="I50" s="33"/>
      <c r="J50" s="42"/>
      <c r="K50" s="41"/>
      <c r="L50" s="42"/>
      <c r="M50" s="42"/>
      <c r="N50" s="41"/>
      <c r="O50" s="42"/>
      <c r="P50" s="42"/>
      <c r="Q50" s="41"/>
      <c r="R50" s="30"/>
      <c r="S50" s="54"/>
      <c r="T50" s="55"/>
      <c r="U50" s="54"/>
      <c r="V50" s="54"/>
      <c r="W50" s="54"/>
      <c r="X50" s="54"/>
      <c r="Y50" s="54"/>
      <c r="Z50" s="54"/>
      <c r="AA50" s="54"/>
      <c r="AB50" s="54"/>
      <c r="AC50" s="54"/>
    </row>
    <row r="51" ht="13.8" spans="1:29">
      <c r="A51" s="30"/>
      <c r="B51" s="30"/>
      <c r="C51" s="30"/>
      <c r="D51" s="31"/>
      <c r="E51" s="31"/>
      <c r="F51" s="30"/>
      <c r="G51" s="32"/>
      <c r="H51" s="33"/>
      <c r="I51" s="33"/>
      <c r="J51" s="42"/>
      <c r="K51" s="41"/>
      <c r="L51" s="42"/>
      <c r="M51" s="42"/>
      <c r="N51" s="41"/>
      <c r="O51" s="42"/>
      <c r="P51" s="42"/>
      <c r="Q51" s="41"/>
      <c r="R51" s="30"/>
      <c r="S51" s="54"/>
      <c r="T51" s="55"/>
      <c r="U51" s="54"/>
      <c r="V51" s="54"/>
      <c r="W51" s="54"/>
      <c r="X51" s="54"/>
      <c r="Y51" s="54"/>
      <c r="Z51" s="54"/>
      <c r="AA51" s="54"/>
      <c r="AB51" s="54"/>
      <c r="AC51" s="54"/>
    </row>
    <row r="52" ht="13.8" outlineLevel="1" spans="1:29">
      <c r="A52" s="30"/>
      <c r="B52" s="30"/>
      <c r="C52" s="30"/>
      <c r="D52" s="31"/>
      <c r="E52" s="31"/>
      <c r="F52" s="30"/>
      <c r="G52" s="32"/>
      <c r="H52" s="33"/>
      <c r="I52" s="33"/>
      <c r="J52" s="42"/>
      <c r="K52" s="41"/>
      <c r="L52" s="42"/>
      <c r="M52" s="42"/>
      <c r="N52" s="41"/>
      <c r="O52" s="42"/>
      <c r="P52" s="42"/>
      <c r="Q52" s="41"/>
      <c r="R52" s="30"/>
      <c r="S52" s="37"/>
      <c r="T52" s="56"/>
      <c r="U52" s="37"/>
      <c r="V52" s="37"/>
      <c r="W52" s="37"/>
      <c r="X52" s="37"/>
      <c r="Y52" s="37"/>
      <c r="Z52" s="37"/>
      <c r="AA52" s="37"/>
      <c r="AB52" s="37"/>
      <c r="AC52" s="37"/>
    </row>
    <row r="53" ht="13.8" outlineLevel="1" spans="1:29">
      <c r="A53" s="30"/>
      <c r="B53" s="30"/>
      <c r="C53" s="30"/>
      <c r="D53" s="31"/>
      <c r="E53" s="31"/>
      <c r="F53" s="30"/>
      <c r="G53" s="32"/>
      <c r="H53" s="33"/>
      <c r="I53" s="33"/>
      <c r="J53" s="42"/>
      <c r="K53" s="41"/>
      <c r="L53" s="42"/>
      <c r="M53" s="42"/>
      <c r="N53" s="41"/>
      <c r="O53" s="42"/>
      <c r="P53" s="42"/>
      <c r="Q53" s="41"/>
      <c r="R53" s="30"/>
      <c r="S53" s="37"/>
      <c r="T53" s="56"/>
      <c r="U53" s="37"/>
      <c r="V53" s="37"/>
      <c r="W53" s="37"/>
      <c r="X53" s="37"/>
      <c r="Y53" s="37"/>
      <c r="Z53" s="37"/>
      <c r="AA53" s="37"/>
      <c r="AB53" s="37"/>
      <c r="AC53" s="37"/>
    </row>
    <row r="54" ht="64.5" customHeight="1" outlineLevel="1" spans="1:29">
      <c r="A54" s="62"/>
      <c r="B54" s="62"/>
      <c r="C54" s="62"/>
      <c r="D54" s="63"/>
      <c r="E54" s="63"/>
      <c r="F54" s="62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62"/>
      <c r="S54" s="37"/>
      <c r="T54" s="57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62"/>
      <c r="B55" s="62"/>
      <c r="C55" s="62"/>
      <c r="D55" s="63"/>
      <c r="E55" s="63"/>
      <c r="F55" s="62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67"/>
      <c r="S55" s="54"/>
      <c r="T55" s="55"/>
      <c r="U55" s="54"/>
      <c r="V55" s="54"/>
      <c r="W55" s="54"/>
      <c r="X55" s="54"/>
      <c r="Y55" s="54"/>
      <c r="Z55" s="54"/>
      <c r="AA55" s="54"/>
      <c r="AB55" s="54"/>
      <c r="AC55" s="54"/>
    </row>
    <row r="56" ht="64.5" customHeight="1" outlineLevel="1" spans="1:29">
      <c r="A56" s="62"/>
      <c r="B56" s="62"/>
      <c r="C56" s="62"/>
      <c r="D56" s="63"/>
      <c r="E56" s="63"/>
      <c r="F56" s="62"/>
      <c r="G56" s="1"/>
      <c r="H56" s="64"/>
      <c r="I56" s="64"/>
      <c r="J56" s="1"/>
      <c r="K56" s="1"/>
      <c r="L56" s="1"/>
      <c r="M56" s="1"/>
      <c r="N56" s="1"/>
      <c r="O56" s="1"/>
      <c r="P56" s="1"/>
      <c r="Q56" s="1"/>
      <c r="R56" s="67"/>
      <c r="S56" s="37"/>
      <c r="T56" s="56"/>
      <c r="U56" s="37"/>
      <c r="V56" s="37"/>
      <c r="W56" s="37"/>
      <c r="X56" s="37"/>
      <c r="Y56" s="37"/>
      <c r="Z56" s="37"/>
      <c r="AA56" s="37"/>
      <c r="AB56" s="37"/>
      <c r="AC56" s="37"/>
    </row>
    <row r="57" ht="64.5" customHeight="1" spans="1:29">
      <c r="A57" s="62"/>
      <c r="B57" s="62"/>
      <c r="C57" s="62"/>
      <c r="D57" s="65"/>
      <c r="E57" s="65"/>
      <c r="F57" s="66"/>
      <c r="G57" s="1"/>
      <c r="H57" s="64"/>
      <c r="I57" s="64"/>
      <c r="J57" s="1"/>
      <c r="K57" s="1"/>
      <c r="L57" s="1"/>
      <c r="M57" s="1"/>
      <c r="N57" s="1"/>
      <c r="O57" s="1"/>
      <c r="P57" s="1"/>
      <c r="Q57" s="1"/>
      <c r="R57" s="66"/>
      <c r="S57" s="37"/>
      <c r="T57" s="57"/>
      <c r="U57" s="37"/>
      <c r="V57" s="37"/>
      <c r="W57" s="37"/>
      <c r="X57" s="37"/>
      <c r="Y57" s="37"/>
      <c r="Z57" s="37"/>
      <c r="AA57" s="37"/>
      <c r="AB57" s="37"/>
      <c r="AC57" s="37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37"/>
      <c r="C228" s="38"/>
      <c r="D228" s="39"/>
      <c r="E228" s="39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37"/>
      <c r="C229" s="38"/>
      <c r="D229" s="39"/>
      <c r="E229" s="39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2.75" customHeight="1" spans="1:29">
      <c r="A252" s="37"/>
      <c r="B252" s="43"/>
      <c r="C252" s="58"/>
      <c r="D252" s="59"/>
      <c r="E252" s="59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2.75" customHeight="1" spans="1:29">
      <c r="A253" s="37"/>
      <c r="B253" s="43"/>
      <c r="C253" s="58"/>
      <c r="D253" s="59"/>
      <c r="E253" s="59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7:H57 G11:G56 H2:H3 L11:L57 M2:M3 O11:O5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26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84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COUNTA(B11:B960)-COUNTIF($N11:$N960,"Skip")</f>
        <v>22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COUNTIF($G11:$G960,C5)</f>
        <v>22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COUNTIF($L11:$L960,C5)</f>
        <v>22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COUNTIF($O11:$O960,C5)</f>
        <v>22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290.4" spans="1:29">
      <c r="A11" s="30" t="s">
        <v>83</v>
      </c>
      <c r="B11" s="30" t="s">
        <v>463</v>
      </c>
      <c r="C11" s="30" t="s">
        <v>905</v>
      </c>
      <c r="D11" s="31" t="s">
        <v>254</v>
      </c>
      <c r="E11" s="31" t="s">
        <v>906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4</v>
      </c>
      <c r="L11" s="42" t="s">
        <v>209</v>
      </c>
      <c r="M11" s="40">
        <v>45993</v>
      </c>
      <c r="N11" s="41" t="s">
        <v>4</v>
      </c>
      <c r="O11" s="42" t="s">
        <v>209</v>
      </c>
      <c r="P11" s="40">
        <v>45995</v>
      </c>
      <c r="Q11" s="41" t="s">
        <v>4</v>
      </c>
      <c r="R11" s="4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13.8" spans="1:29">
      <c r="A12" s="30" t="s">
        <v>83</v>
      </c>
      <c r="B12" s="30" t="s">
        <v>467</v>
      </c>
      <c r="C12" s="30" t="s">
        <v>907</v>
      </c>
      <c r="D12" s="31" t="s">
        <v>254</v>
      </c>
      <c r="E12" s="31" t="s">
        <v>342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4</v>
      </c>
      <c r="L12" s="42" t="s">
        <v>209</v>
      </c>
      <c r="M12" s="40">
        <v>45993</v>
      </c>
      <c r="N12" s="41" t="s">
        <v>4</v>
      </c>
      <c r="O12" s="42" t="s">
        <v>209</v>
      </c>
      <c r="P12" s="40">
        <v>45995</v>
      </c>
      <c r="Q12" s="41" t="s">
        <v>4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132" spans="1:29">
      <c r="A13" s="30" t="s">
        <v>85</v>
      </c>
      <c r="B13" s="30" t="s">
        <v>473</v>
      </c>
      <c r="C13" s="30" t="s">
        <v>908</v>
      </c>
      <c r="D13" s="31" t="s">
        <v>909</v>
      </c>
      <c r="E13" s="31" t="s">
        <v>910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4</v>
      </c>
      <c r="L13" s="42" t="s">
        <v>209</v>
      </c>
      <c r="M13" s="40">
        <v>45993</v>
      </c>
      <c r="N13" s="41" t="s">
        <v>4</v>
      </c>
      <c r="O13" s="42" t="s">
        <v>209</v>
      </c>
      <c r="P13" s="40">
        <v>45995</v>
      </c>
      <c r="Q13" s="41" t="s">
        <v>4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66" spans="1:29">
      <c r="A14" s="30" t="s">
        <v>85</v>
      </c>
      <c r="B14" s="30" t="s">
        <v>477</v>
      </c>
      <c r="C14" s="30" t="s">
        <v>911</v>
      </c>
      <c r="D14" s="31" t="s">
        <v>912</v>
      </c>
      <c r="E14" s="31" t="s">
        <v>913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4</v>
      </c>
      <c r="L14" s="42" t="s">
        <v>209</v>
      </c>
      <c r="M14" s="40">
        <v>45993</v>
      </c>
      <c r="N14" s="41" t="s">
        <v>4</v>
      </c>
      <c r="O14" s="42" t="s">
        <v>209</v>
      </c>
      <c r="P14" s="40">
        <v>45995</v>
      </c>
      <c r="Q14" s="41" t="s">
        <v>4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290.4" spans="1:29">
      <c r="A15" s="30" t="s">
        <v>86</v>
      </c>
      <c r="B15" s="30" t="s">
        <v>484</v>
      </c>
      <c r="C15" s="30" t="s">
        <v>914</v>
      </c>
      <c r="D15" s="31" t="s">
        <v>277</v>
      </c>
      <c r="E15" s="31" t="s">
        <v>906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4</v>
      </c>
      <c r="L15" s="42" t="s">
        <v>209</v>
      </c>
      <c r="M15" s="40">
        <v>45993</v>
      </c>
      <c r="N15" s="41" t="s">
        <v>4</v>
      </c>
      <c r="O15" s="42" t="s">
        <v>209</v>
      </c>
      <c r="P15" s="40">
        <v>45995</v>
      </c>
      <c r="Q15" s="41" t="s">
        <v>4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39.6" spans="1:29">
      <c r="A16" s="30" t="s">
        <v>86</v>
      </c>
      <c r="B16" s="30" t="s">
        <v>488</v>
      </c>
      <c r="C16" s="30" t="s">
        <v>915</v>
      </c>
      <c r="D16" s="31" t="s">
        <v>277</v>
      </c>
      <c r="E16" s="31" t="s">
        <v>342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4</v>
      </c>
      <c r="L16" s="42" t="s">
        <v>209</v>
      </c>
      <c r="M16" s="40">
        <v>45993</v>
      </c>
      <c r="N16" s="41" t="s">
        <v>4</v>
      </c>
      <c r="O16" s="42" t="s">
        <v>209</v>
      </c>
      <c r="P16" s="40">
        <v>45995</v>
      </c>
      <c r="Q16" s="41" t="s">
        <v>4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39.6" spans="1:29">
      <c r="A17" s="30" t="s">
        <v>86</v>
      </c>
      <c r="B17" s="30" t="s">
        <v>492</v>
      </c>
      <c r="C17" s="30" t="s">
        <v>916</v>
      </c>
      <c r="D17" s="31" t="s">
        <v>917</v>
      </c>
      <c r="E17" s="31" t="s">
        <v>918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4</v>
      </c>
      <c r="L17" s="42" t="s">
        <v>209</v>
      </c>
      <c r="M17" s="40">
        <v>45993</v>
      </c>
      <c r="N17" s="41" t="s">
        <v>4</v>
      </c>
      <c r="O17" s="42" t="s">
        <v>209</v>
      </c>
      <c r="P17" s="40">
        <v>45995</v>
      </c>
      <c r="Q17" s="41" t="s">
        <v>4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158.4" spans="1:29">
      <c r="A18" s="30" t="s">
        <v>87</v>
      </c>
      <c r="B18" s="30" t="s">
        <v>496</v>
      </c>
      <c r="C18" s="30" t="s">
        <v>919</v>
      </c>
      <c r="D18" s="31" t="s">
        <v>920</v>
      </c>
      <c r="E18" s="31" t="s">
        <v>921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4</v>
      </c>
      <c r="L18" s="42" t="s">
        <v>209</v>
      </c>
      <c r="M18" s="40">
        <v>45993</v>
      </c>
      <c r="N18" s="41" t="s">
        <v>4</v>
      </c>
      <c r="O18" s="42" t="s">
        <v>209</v>
      </c>
      <c r="P18" s="40">
        <v>45995</v>
      </c>
      <c r="Q18" s="41" t="s">
        <v>4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158.4" spans="1:29">
      <c r="A19" s="30" t="s">
        <v>87</v>
      </c>
      <c r="B19" s="30" t="s">
        <v>499</v>
      </c>
      <c r="C19" s="30" t="s">
        <v>922</v>
      </c>
      <c r="D19" s="31" t="s">
        <v>923</v>
      </c>
      <c r="E19" s="31" t="s">
        <v>921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4</v>
      </c>
      <c r="L19" s="42" t="s">
        <v>209</v>
      </c>
      <c r="M19" s="40">
        <v>45993</v>
      </c>
      <c r="N19" s="41" t="s">
        <v>4</v>
      </c>
      <c r="O19" s="42" t="s">
        <v>209</v>
      </c>
      <c r="P19" s="40">
        <v>45995</v>
      </c>
      <c r="Q19" s="41" t="s">
        <v>4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92.4" spans="1:29">
      <c r="A20" s="30" t="s">
        <v>87</v>
      </c>
      <c r="B20" s="30" t="s">
        <v>501</v>
      </c>
      <c r="C20" s="30" t="s">
        <v>924</v>
      </c>
      <c r="D20" s="31" t="s">
        <v>925</v>
      </c>
      <c r="E20" s="31" t="s">
        <v>918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4</v>
      </c>
      <c r="L20" s="42" t="s">
        <v>209</v>
      </c>
      <c r="M20" s="40">
        <v>45993</v>
      </c>
      <c r="N20" s="41" t="s">
        <v>4</v>
      </c>
      <c r="O20" s="42" t="s">
        <v>209</v>
      </c>
      <c r="P20" s="40">
        <v>45995</v>
      </c>
      <c r="Q20" s="41" t="s">
        <v>4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92.4" spans="1:29">
      <c r="A21" s="30" t="s">
        <v>87</v>
      </c>
      <c r="B21" s="30" t="s">
        <v>926</v>
      </c>
      <c r="C21" s="30" t="s">
        <v>927</v>
      </c>
      <c r="D21" s="31" t="s">
        <v>928</v>
      </c>
      <c r="E21" s="31" t="s">
        <v>929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4</v>
      </c>
      <c r="L21" s="42" t="s">
        <v>209</v>
      </c>
      <c r="M21" s="40">
        <v>45993</v>
      </c>
      <c r="N21" s="41" t="s">
        <v>4</v>
      </c>
      <c r="O21" s="42" t="s">
        <v>209</v>
      </c>
      <c r="P21" s="40">
        <v>45995</v>
      </c>
      <c r="Q21" s="41" t="s">
        <v>4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92.4" spans="1:29">
      <c r="A22" s="30" t="s">
        <v>87</v>
      </c>
      <c r="B22" s="30" t="s">
        <v>930</v>
      </c>
      <c r="C22" s="30" t="s">
        <v>931</v>
      </c>
      <c r="D22" s="31" t="s">
        <v>932</v>
      </c>
      <c r="E22" s="31" t="s">
        <v>933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4</v>
      </c>
      <c r="L22" s="42" t="s">
        <v>209</v>
      </c>
      <c r="M22" s="40">
        <v>45993</v>
      </c>
      <c r="N22" s="41" t="s">
        <v>4</v>
      </c>
      <c r="O22" s="42" t="s">
        <v>209</v>
      </c>
      <c r="P22" s="40">
        <v>45995</v>
      </c>
      <c r="Q22" s="41" t="s">
        <v>4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92.4" spans="1:29">
      <c r="A23" s="30" t="s">
        <v>87</v>
      </c>
      <c r="B23" s="30" t="s">
        <v>934</v>
      </c>
      <c r="C23" s="30" t="s">
        <v>935</v>
      </c>
      <c r="D23" s="31" t="s">
        <v>936</v>
      </c>
      <c r="E23" s="31" t="s">
        <v>937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4</v>
      </c>
      <c r="L23" s="42" t="s">
        <v>209</v>
      </c>
      <c r="M23" s="40">
        <v>45993</v>
      </c>
      <c r="N23" s="41" t="s">
        <v>4</v>
      </c>
      <c r="O23" s="42" t="s">
        <v>209</v>
      </c>
      <c r="P23" s="40">
        <v>45995</v>
      </c>
      <c r="Q23" s="41" t="s">
        <v>4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92.4" spans="1:29">
      <c r="A24" s="30" t="s">
        <v>87</v>
      </c>
      <c r="B24" s="30" t="s">
        <v>938</v>
      </c>
      <c r="C24" s="30" t="s">
        <v>939</v>
      </c>
      <c r="D24" s="31" t="s">
        <v>936</v>
      </c>
      <c r="E24" s="31" t="s">
        <v>940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4</v>
      </c>
      <c r="L24" s="42" t="s">
        <v>209</v>
      </c>
      <c r="M24" s="40">
        <v>45993</v>
      </c>
      <c r="N24" s="41" t="s">
        <v>4</v>
      </c>
      <c r="O24" s="42" t="s">
        <v>209</v>
      </c>
      <c r="P24" s="40">
        <v>45995</v>
      </c>
      <c r="Q24" s="41" t="s">
        <v>4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92.4" spans="1:29">
      <c r="A25" s="30" t="s">
        <v>87</v>
      </c>
      <c r="B25" s="30" t="s">
        <v>941</v>
      </c>
      <c r="C25" s="30" t="s">
        <v>942</v>
      </c>
      <c r="D25" s="31" t="s">
        <v>943</v>
      </c>
      <c r="E25" s="31" t="s">
        <v>944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4</v>
      </c>
      <c r="L25" s="42" t="s">
        <v>209</v>
      </c>
      <c r="M25" s="40">
        <v>45993</v>
      </c>
      <c r="N25" s="41" t="s">
        <v>4</v>
      </c>
      <c r="O25" s="42" t="s">
        <v>209</v>
      </c>
      <c r="P25" s="40">
        <v>45995</v>
      </c>
      <c r="Q25" s="41" t="s">
        <v>4</v>
      </c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145.2" outlineLevel="1" spans="1:29">
      <c r="A26" s="30" t="s">
        <v>88</v>
      </c>
      <c r="B26" s="30" t="s">
        <v>504</v>
      </c>
      <c r="C26" s="30" t="s">
        <v>945</v>
      </c>
      <c r="D26" s="31" t="s">
        <v>946</v>
      </c>
      <c r="E26" s="31" t="s">
        <v>947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4</v>
      </c>
      <c r="L26" s="42" t="s">
        <v>209</v>
      </c>
      <c r="M26" s="40">
        <v>45993</v>
      </c>
      <c r="N26" s="41" t="s">
        <v>4</v>
      </c>
      <c r="O26" s="42" t="s">
        <v>209</v>
      </c>
      <c r="P26" s="40">
        <v>45995</v>
      </c>
      <c r="Q26" s="41" t="s">
        <v>4</v>
      </c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145.2" outlineLevel="1" spans="1:29">
      <c r="A27" s="30" t="s">
        <v>88</v>
      </c>
      <c r="B27" s="30" t="s">
        <v>507</v>
      </c>
      <c r="C27" s="30" t="s">
        <v>948</v>
      </c>
      <c r="D27" s="31" t="s">
        <v>949</v>
      </c>
      <c r="E27" s="31" t="s">
        <v>950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4</v>
      </c>
      <c r="L27" s="42" t="s">
        <v>209</v>
      </c>
      <c r="M27" s="40">
        <v>45993</v>
      </c>
      <c r="N27" s="41" t="s">
        <v>4</v>
      </c>
      <c r="O27" s="42" t="s">
        <v>209</v>
      </c>
      <c r="P27" s="40">
        <v>45995</v>
      </c>
      <c r="Q27" s="41" t="s">
        <v>4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145.2" outlineLevel="1" spans="1:29">
      <c r="A28" s="30" t="s">
        <v>88</v>
      </c>
      <c r="B28" s="30" t="s">
        <v>509</v>
      </c>
      <c r="C28" s="30" t="s">
        <v>951</v>
      </c>
      <c r="D28" s="31" t="s">
        <v>952</v>
      </c>
      <c r="E28" s="31" t="s">
        <v>953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4</v>
      </c>
      <c r="L28" s="42" t="s">
        <v>209</v>
      </c>
      <c r="M28" s="40">
        <v>45993</v>
      </c>
      <c r="N28" s="41" t="s">
        <v>4</v>
      </c>
      <c r="O28" s="42" t="s">
        <v>209</v>
      </c>
      <c r="P28" s="40">
        <v>45995</v>
      </c>
      <c r="Q28" s="41" t="s">
        <v>4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92.4" outlineLevel="1" spans="1:29">
      <c r="A29" s="30" t="s">
        <v>88</v>
      </c>
      <c r="B29" s="30" t="s">
        <v>954</v>
      </c>
      <c r="C29" s="30" t="s">
        <v>955</v>
      </c>
      <c r="D29" s="31" t="s">
        <v>956</v>
      </c>
      <c r="E29" s="31" t="s">
        <v>913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4</v>
      </c>
      <c r="L29" s="42" t="s">
        <v>209</v>
      </c>
      <c r="M29" s="40">
        <v>45993</v>
      </c>
      <c r="N29" s="41" t="s">
        <v>4</v>
      </c>
      <c r="O29" s="42" t="s">
        <v>209</v>
      </c>
      <c r="P29" s="40">
        <v>45995</v>
      </c>
      <c r="Q29" s="41" t="s">
        <v>4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211.2" outlineLevel="1" spans="1:29">
      <c r="A30" s="30" t="s">
        <v>89</v>
      </c>
      <c r="B30" s="30" t="s">
        <v>512</v>
      </c>
      <c r="C30" s="30" t="s">
        <v>957</v>
      </c>
      <c r="D30" s="31" t="s">
        <v>277</v>
      </c>
      <c r="E30" s="31" t="s">
        <v>958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4</v>
      </c>
      <c r="L30" s="42" t="s">
        <v>209</v>
      </c>
      <c r="M30" s="40">
        <v>45993</v>
      </c>
      <c r="N30" s="41" t="s">
        <v>4</v>
      </c>
      <c r="O30" s="42" t="s">
        <v>209</v>
      </c>
      <c r="P30" s="40">
        <v>45995</v>
      </c>
      <c r="Q30" s="41" t="s">
        <v>4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52.8" outlineLevel="1" spans="1:29">
      <c r="A31" s="30" t="s">
        <v>89</v>
      </c>
      <c r="B31" s="30" t="s">
        <v>515</v>
      </c>
      <c r="C31" s="30" t="s">
        <v>959</v>
      </c>
      <c r="D31" s="31" t="s">
        <v>277</v>
      </c>
      <c r="E31" s="31" t="s">
        <v>282</v>
      </c>
      <c r="F31" s="30" t="s">
        <v>237</v>
      </c>
      <c r="G31" s="32" t="s">
        <v>209</v>
      </c>
      <c r="H31" s="33"/>
      <c r="I31" s="33"/>
      <c r="J31" s="40">
        <v>45991</v>
      </c>
      <c r="K31" s="41" t="s">
        <v>4</v>
      </c>
      <c r="L31" s="42" t="s">
        <v>209</v>
      </c>
      <c r="M31" s="40">
        <v>45993</v>
      </c>
      <c r="N31" s="41" t="s">
        <v>4</v>
      </c>
      <c r="O31" s="42" t="s">
        <v>209</v>
      </c>
      <c r="P31" s="40">
        <v>45995</v>
      </c>
      <c r="Q31" s="41" t="s">
        <v>4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52.8" outlineLevel="1" spans="1:29">
      <c r="A32" s="30" t="s">
        <v>89</v>
      </c>
      <c r="B32" s="30" t="s">
        <v>517</v>
      </c>
      <c r="C32" s="30" t="s">
        <v>960</v>
      </c>
      <c r="D32" s="31" t="s">
        <v>917</v>
      </c>
      <c r="E32" s="31" t="s">
        <v>282</v>
      </c>
      <c r="F32" s="30" t="s">
        <v>237</v>
      </c>
      <c r="G32" s="32" t="s">
        <v>209</v>
      </c>
      <c r="H32" s="33"/>
      <c r="I32" s="33"/>
      <c r="J32" s="40">
        <v>45991</v>
      </c>
      <c r="K32" s="41" t="s">
        <v>4</v>
      </c>
      <c r="L32" s="42" t="s">
        <v>209</v>
      </c>
      <c r="M32" s="40">
        <v>45993</v>
      </c>
      <c r="N32" s="41" t="s">
        <v>4</v>
      </c>
      <c r="O32" s="42" t="s">
        <v>209</v>
      </c>
      <c r="P32" s="40">
        <v>45995</v>
      </c>
      <c r="Q32" s="41" t="s">
        <v>4</v>
      </c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3.8" outlineLevel="1" spans="1:29">
      <c r="A33" s="30"/>
      <c r="B33" s="30"/>
      <c r="C33" s="30"/>
      <c r="D33" s="31"/>
      <c r="E33" s="31"/>
      <c r="F33" s="30"/>
      <c r="G33" s="32"/>
      <c r="H33" s="33"/>
      <c r="I33" s="33"/>
      <c r="J33" s="40"/>
      <c r="K33" s="41"/>
      <c r="L33" s="42"/>
      <c r="M33" s="40"/>
      <c r="N33" s="41"/>
      <c r="O33" s="42"/>
      <c r="P33" s="40"/>
      <c r="Q33" s="41"/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3.8" outlineLevel="1" spans="1:29">
      <c r="A34" s="30"/>
      <c r="B34" s="30"/>
      <c r="C34" s="30"/>
      <c r="D34" s="31"/>
      <c r="E34" s="31"/>
      <c r="F34" s="30"/>
      <c r="G34" s="32"/>
      <c r="H34" s="33"/>
      <c r="I34" s="33"/>
      <c r="J34" s="40"/>
      <c r="K34" s="41"/>
      <c r="L34" s="42"/>
      <c r="M34" s="40"/>
      <c r="N34" s="41"/>
      <c r="O34" s="42"/>
      <c r="P34" s="40"/>
      <c r="Q34" s="41"/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3.8" outlineLevel="1" spans="1:29">
      <c r="A35" s="30"/>
      <c r="B35" s="30"/>
      <c r="C35" s="30"/>
      <c r="D35" s="31"/>
      <c r="E35" s="31"/>
      <c r="F35" s="30"/>
      <c r="G35" s="32"/>
      <c r="H35" s="33"/>
      <c r="I35" s="33"/>
      <c r="J35" s="40"/>
      <c r="K35" s="41"/>
      <c r="L35" s="42"/>
      <c r="M35" s="40"/>
      <c r="N35" s="41"/>
      <c r="O35" s="42"/>
      <c r="P35" s="40"/>
      <c r="Q35" s="41"/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3.8" outlineLevel="1" spans="1:29">
      <c r="A36" s="30"/>
      <c r="B36" s="30"/>
      <c r="C36" s="30"/>
      <c r="D36" s="31"/>
      <c r="E36" s="31"/>
      <c r="F36" s="30"/>
      <c r="G36" s="32"/>
      <c r="H36" s="33"/>
      <c r="I36" s="33"/>
      <c r="J36" s="40"/>
      <c r="K36" s="41"/>
      <c r="L36" s="42"/>
      <c r="M36" s="40"/>
      <c r="N36" s="41"/>
      <c r="O36" s="42"/>
      <c r="P36" s="40"/>
      <c r="Q36" s="41"/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3.8" outlineLevel="1" spans="1:29">
      <c r="A37" s="30"/>
      <c r="B37" s="30"/>
      <c r="C37" s="30"/>
      <c r="D37" s="31"/>
      <c r="E37" s="31"/>
      <c r="F37" s="30"/>
      <c r="G37" s="32"/>
      <c r="H37" s="33"/>
      <c r="I37" s="33"/>
      <c r="J37" s="40"/>
      <c r="K37" s="41"/>
      <c r="L37" s="42"/>
      <c r="M37" s="40"/>
      <c r="N37" s="41"/>
      <c r="O37" s="42"/>
      <c r="P37" s="40"/>
      <c r="Q37" s="41"/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8" outlineLevel="1" spans="1:29">
      <c r="A38" s="30"/>
      <c r="B38" s="30"/>
      <c r="C38" s="30"/>
      <c r="D38" s="31"/>
      <c r="E38" s="31"/>
      <c r="F38" s="30"/>
      <c r="G38" s="32"/>
      <c r="H38" s="33"/>
      <c r="I38" s="33"/>
      <c r="J38" s="42"/>
      <c r="K38" s="41"/>
      <c r="L38" s="42"/>
      <c r="M38" s="42"/>
      <c r="N38" s="41"/>
      <c r="O38" s="42"/>
      <c r="P38" s="42"/>
      <c r="Q38" s="41"/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8" outlineLevel="1" spans="1:29">
      <c r="A39" s="30"/>
      <c r="B39" s="30"/>
      <c r="C39" s="30"/>
      <c r="D39" s="31"/>
      <c r="E39" s="31"/>
      <c r="F39" s="30"/>
      <c r="G39" s="32"/>
      <c r="H39" s="33"/>
      <c r="I39" s="33"/>
      <c r="J39" s="42"/>
      <c r="K39" s="41"/>
      <c r="L39" s="42"/>
      <c r="M39" s="42"/>
      <c r="N39" s="41"/>
      <c r="O39" s="42"/>
      <c r="P39" s="42"/>
      <c r="Q39" s="41"/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8" outlineLevel="1" spans="1:29">
      <c r="A40" s="30"/>
      <c r="B40" s="30"/>
      <c r="C40" s="30"/>
      <c r="D40" s="31"/>
      <c r="E40" s="31"/>
      <c r="F40" s="30"/>
      <c r="G40" s="32"/>
      <c r="H40" s="33"/>
      <c r="I40" s="33"/>
      <c r="J40" s="42"/>
      <c r="K40" s="41"/>
      <c r="L40" s="42"/>
      <c r="M40" s="42"/>
      <c r="N40" s="41"/>
      <c r="O40" s="42"/>
      <c r="P40" s="42"/>
      <c r="Q40" s="41"/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8" outlineLevel="1" spans="1:29">
      <c r="A41" s="30"/>
      <c r="B41" s="30"/>
      <c r="C41" s="30"/>
      <c r="D41" s="31"/>
      <c r="E41" s="31"/>
      <c r="F41" s="30"/>
      <c r="G41" s="32"/>
      <c r="H41" s="33"/>
      <c r="I41" s="33"/>
      <c r="J41" s="42"/>
      <c r="K41" s="41"/>
      <c r="L41" s="42"/>
      <c r="M41" s="42"/>
      <c r="N41" s="41"/>
      <c r="O41" s="42"/>
      <c r="P41" s="42"/>
      <c r="Q41" s="41"/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8" outlineLevel="1" spans="1:29">
      <c r="A42" s="30"/>
      <c r="B42" s="30"/>
      <c r="C42" s="30"/>
      <c r="D42" s="31"/>
      <c r="E42" s="31"/>
      <c r="F42" s="30"/>
      <c r="G42" s="32"/>
      <c r="H42" s="33"/>
      <c r="I42" s="33"/>
      <c r="J42" s="42"/>
      <c r="K42" s="41"/>
      <c r="L42" s="42"/>
      <c r="M42" s="42"/>
      <c r="N42" s="41"/>
      <c r="O42" s="42"/>
      <c r="P42" s="42"/>
      <c r="Q42" s="41"/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8" outlineLevel="1" spans="1:29">
      <c r="A43" s="30"/>
      <c r="B43" s="30"/>
      <c r="C43" s="30"/>
      <c r="D43" s="31"/>
      <c r="E43" s="31"/>
      <c r="F43" s="30"/>
      <c r="G43" s="32"/>
      <c r="H43" s="33"/>
      <c r="I43" s="33"/>
      <c r="J43" s="42"/>
      <c r="K43" s="41"/>
      <c r="L43" s="42"/>
      <c r="M43" s="42"/>
      <c r="N43" s="41"/>
      <c r="O43" s="42"/>
      <c r="P43" s="42"/>
      <c r="Q43" s="41"/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8" outlineLevel="1" spans="1:29">
      <c r="A44" s="30"/>
      <c r="B44" s="30"/>
      <c r="C44" s="30"/>
      <c r="D44" s="31"/>
      <c r="E44" s="31"/>
      <c r="F44" s="30"/>
      <c r="G44" s="32"/>
      <c r="H44" s="33"/>
      <c r="I44" s="33"/>
      <c r="J44" s="42"/>
      <c r="K44" s="41"/>
      <c r="L44" s="42"/>
      <c r="M44" s="42"/>
      <c r="N44" s="41"/>
      <c r="O44" s="42"/>
      <c r="P44" s="42"/>
      <c r="Q44" s="41"/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8" outlineLevel="1" spans="1:29">
      <c r="A45" s="30"/>
      <c r="B45" s="30"/>
      <c r="C45" s="30"/>
      <c r="D45" s="31"/>
      <c r="E45" s="31"/>
      <c r="F45" s="30"/>
      <c r="G45" s="32"/>
      <c r="H45" s="33"/>
      <c r="I45" s="33"/>
      <c r="J45" s="42"/>
      <c r="K45" s="41"/>
      <c r="L45" s="42"/>
      <c r="M45" s="42"/>
      <c r="N45" s="41"/>
      <c r="O45" s="42"/>
      <c r="P45" s="42"/>
      <c r="Q45" s="41"/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8" outlineLevel="1" spans="1:29">
      <c r="A46" s="30"/>
      <c r="B46" s="30"/>
      <c r="C46" s="30"/>
      <c r="D46" s="31"/>
      <c r="E46" s="31"/>
      <c r="F46" s="30"/>
      <c r="G46" s="32"/>
      <c r="H46" s="33"/>
      <c r="I46" s="33"/>
      <c r="J46" s="42"/>
      <c r="K46" s="41"/>
      <c r="L46" s="42"/>
      <c r="M46" s="42"/>
      <c r="N46" s="41"/>
      <c r="O46" s="42"/>
      <c r="P46" s="42"/>
      <c r="Q46" s="41"/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8" outlineLevel="1" spans="1:29">
      <c r="A47" s="30"/>
      <c r="B47" s="30"/>
      <c r="C47" s="30"/>
      <c r="D47" s="31"/>
      <c r="E47" s="31"/>
      <c r="F47" s="30"/>
      <c r="G47" s="32"/>
      <c r="H47" s="33"/>
      <c r="I47" s="33"/>
      <c r="J47" s="42"/>
      <c r="K47" s="41"/>
      <c r="L47" s="42"/>
      <c r="M47" s="42"/>
      <c r="N47" s="41"/>
      <c r="O47" s="42"/>
      <c r="P47" s="42"/>
      <c r="Q47" s="41"/>
      <c r="R47" s="30"/>
      <c r="S47" s="43"/>
      <c r="T47" s="53"/>
      <c r="U47" s="43"/>
      <c r="V47" s="43"/>
      <c r="W47" s="43"/>
      <c r="X47" s="43"/>
      <c r="Y47" s="43"/>
      <c r="Z47" s="43"/>
      <c r="AA47" s="43"/>
      <c r="AB47" s="43"/>
      <c r="AC47" s="43"/>
    </row>
    <row r="48" ht="13.8" outlineLevel="1" spans="1:29">
      <c r="A48" s="30"/>
      <c r="B48" s="30"/>
      <c r="C48" s="30"/>
      <c r="D48" s="31"/>
      <c r="E48" s="31"/>
      <c r="F48" s="30"/>
      <c r="G48" s="32"/>
      <c r="H48" s="33"/>
      <c r="I48" s="33"/>
      <c r="J48" s="42"/>
      <c r="K48" s="41"/>
      <c r="L48" s="42"/>
      <c r="M48" s="42"/>
      <c r="N48" s="41"/>
      <c r="O48" s="42"/>
      <c r="P48" s="42"/>
      <c r="Q48" s="41"/>
      <c r="R48" s="30"/>
      <c r="S48" s="43"/>
      <c r="T48" s="53"/>
      <c r="U48" s="43"/>
      <c r="V48" s="43"/>
      <c r="W48" s="43"/>
      <c r="X48" s="43"/>
      <c r="Y48" s="43"/>
      <c r="Z48" s="43"/>
      <c r="AA48" s="43"/>
      <c r="AB48" s="43"/>
      <c r="AC48" s="43"/>
    </row>
    <row r="49" ht="13.8" spans="1:29">
      <c r="A49" s="30"/>
      <c r="B49" s="30"/>
      <c r="C49" s="30"/>
      <c r="D49" s="31"/>
      <c r="E49" s="31"/>
      <c r="F49" s="30"/>
      <c r="G49" s="32"/>
      <c r="H49" s="33"/>
      <c r="I49" s="33"/>
      <c r="J49" s="42"/>
      <c r="K49" s="41"/>
      <c r="L49" s="42"/>
      <c r="M49" s="42"/>
      <c r="N49" s="41"/>
      <c r="O49" s="42"/>
      <c r="P49" s="42"/>
      <c r="Q49" s="41"/>
      <c r="R49" s="30"/>
      <c r="S49" s="47"/>
      <c r="T49" s="51"/>
      <c r="U49" s="47"/>
      <c r="V49" s="47"/>
      <c r="W49" s="47"/>
      <c r="X49" s="47"/>
      <c r="Y49" s="47"/>
      <c r="Z49" s="47"/>
      <c r="AA49" s="47"/>
      <c r="AB49" s="47"/>
      <c r="AC49" s="47"/>
    </row>
    <row r="50" ht="13.8" spans="1:29">
      <c r="A50" s="30"/>
      <c r="B50" s="30"/>
      <c r="C50" s="30"/>
      <c r="D50" s="31"/>
      <c r="E50" s="31"/>
      <c r="F50" s="30"/>
      <c r="G50" s="32"/>
      <c r="H50" s="33"/>
      <c r="I50" s="33"/>
      <c r="J50" s="42"/>
      <c r="K50" s="41"/>
      <c r="L50" s="42"/>
      <c r="M50" s="42"/>
      <c r="N50" s="41"/>
      <c r="O50" s="42"/>
      <c r="P50" s="42"/>
      <c r="Q50" s="41"/>
      <c r="R50" s="30"/>
      <c r="S50" s="54"/>
      <c r="T50" s="55"/>
      <c r="U50" s="54"/>
      <c r="V50" s="54"/>
      <c r="W50" s="54"/>
      <c r="X50" s="54"/>
      <c r="Y50" s="54"/>
      <c r="Z50" s="54"/>
      <c r="AA50" s="54"/>
      <c r="AB50" s="54"/>
      <c r="AC50" s="54"/>
    </row>
    <row r="51" ht="13.8" spans="1:29">
      <c r="A51" s="30"/>
      <c r="B51" s="30"/>
      <c r="C51" s="30"/>
      <c r="D51" s="31"/>
      <c r="E51" s="31"/>
      <c r="F51" s="30"/>
      <c r="G51" s="32"/>
      <c r="H51" s="33"/>
      <c r="I51" s="33"/>
      <c r="J51" s="42"/>
      <c r="K51" s="41"/>
      <c r="L51" s="42"/>
      <c r="M51" s="42"/>
      <c r="N51" s="41"/>
      <c r="O51" s="42"/>
      <c r="P51" s="42"/>
      <c r="Q51" s="41"/>
      <c r="R51" s="30"/>
      <c r="S51" s="54"/>
      <c r="T51" s="55"/>
      <c r="U51" s="54"/>
      <c r="V51" s="54"/>
      <c r="W51" s="54"/>
      <c r="X51" s="54"/>
      <c r="Y51" s="54"/>
      <c r="Z51" s="54"/>
      <c r="AA51" s="54"/>
      <c r="AB51" s="54"/>
      <c r="AC51" s="54"/>
    </row>
    <row r="52" ht="13.8" outlineLevel="1" spans="1:29">
      <c r="A52" s="30"/>
      <c r="B52" s="30"/>
      <c r="C52" s="30"/>
      <c r="D52" s="31"/>
      <c r="E52" s="31"/>
      <c r="F52" s="30"/>
      <c r="G52" s="32"/>
      <c r="H52" s="33"/>
      <c r="I52" s="33"/>
      <c r="J52" s="42"/>
      <c r="K52" s="41"/>
      <c r="L52" s="42"/>
      <c r="M52" s="42"/>
      <c r="N52" s="41"/>
      <c r="O52" s="42"/>
      <c r="P52" s="42"/>
      <c r="Q52" s="41"/>
      <c r="R52" s="30"/>
      <c r="S52" s="37"/>
      <c r="T52" s="56"/>
      <c r="U52" s="37"/>
      <c r="V52" s="37"/>
      <c r="W52" s="37"/>
      <c r="X52" s="37"/>
      <c r="Y52" s="37"/>
      <c r="Z52" s="37"/>
      <c r="AA52" s="37"/>
      <c r="AB52" s="37"/>
      <c r="AC52" s="37"/>
    </row>
    <row r="53" ht="13.8" outlineLevel="1" spans="1:29">
      <c r="A53" s="30"/>
      <c r="B53" s="30"/>
      <c r="C53" s="30"/>
      <c r="D53" s="31"/>
      <c r="E53" s="31"/>
      <c r="F53" s="30"/>
      <c r="G53" s="32"/>
      <c r="H53" s="33"/>
      <c r="I53" s="33"/>
      <c r="J53" s="42"/>
      <c r="K53" s="41"/>
      <c r="L53" s="42"/>
      <c r="M53" s="42"/>
      <c r="N53" s="41"/>
      <c r="O53" s="42"/>
      <c r="P53" s="42"/>
      <c r="Q53" s="41"/>
      <c r="R53" s="30"/>
      <c r="S53" s="37"/>
      <c r="T53" s="56"/>
      <c r="U53" s="37"/>
      <c r="V53" s="37"/>
      <c r="W53" s="37"/>
      <c r="X53" s="37"/>
      <c r="Y53" s="37"/>
      <c r="Z53" s="37"/>
      <c r="AA53" s="37"/>
      <c r="AB53" s="37"/>
      <c r="AC53" s="37"/>
    </row>
    <row r="54" ht="64.5" customHeight="1" outlineLevel="1" spans="1:29">
      <c r="A54" s="62"/>
      <c r="B54" s="62"/>
      <c r="C54" s="62"/>
      <c r="D54" s="63"/>
      <c r="E54" s="63"/>
      <c r="F54" s="62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62"/>
      <c r="S54" s="37"/>
      <c r="T54" s="57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62"/>
      <c r="B55" s="62"/>
      <c r="C55" s="62"/>
      <c r="D55" s="63"/>
      <c r="E55" s="63"/>
      <c r="F55" s="62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67"/>
      <c r="S55" s="54"/>
      <c r="T55" s="55"/>
      <c r="U55" s="54"/>
      <c r="V55" s="54"/>
      <c r="W55" s="54"/>
      <c r="X55" s="54"/>
      <c r="Y55" s="54"/>
      <c r="Z55" s="54"/>
      <c r="AA55" s="54"/>
      <c r="AB55" s="54"/>
      <c r="AC55" s="54"/>
    </row>
    <row r="56" ht="64.5" customHeight="1" outlineLevel="1" spans="1:29">
      <c r="A56" s="62"/>
      <c r="B56" s="62"/>
      <c r="C56" s="62"/>
      <c r="D56" s="63"/>
      <c r="E56" s="63"/>
      <c r="F56" s="62"/>
      <c r="G56" s="1"/>
      <c r="H56" s="64"/>
      <c r="I56" s="64"/>
      <c r="J56" s="1"/>
      <c r="K56" s="1"/>
      <c r="L56" s="1"/>
      <c r="M56" s="1"/>
      <c r="N56" s="1"/>
      <c r="O56" s="1"/>
      <c r="P56" s="1"/>
      <c r="Q56" s="1"/>
      <c r="R56" s="67"/>
      <c r="S56" s="37"/>
      <c r="T56" s="56"/>
      <c r="U56" s="37"/>
      <c r="V56" s="37"/>
      <c r="W56" s="37"/>
      <c r="X56" s="37"/>
      <c r="Y56" s="37"/>
      <c r="Z56" s="37"/>
      <c r="AA56" s="37"/>
      <c r="AB56" s="37"/>
      <c r="AC56" s="37"/>
    </row>
    <row r="57" ht="64.5" customHeight="1" spans="1:29">
      <c r="A57" s="62"/>
      <c r="B57" s="62"/>
      <c r="C57" s="62"/>
      <c r="D57" s="65"/>
      <c r="E57" s="65"/>
      <c r="F57" s="66"/>
      <c r="G57" s="1"/>
      <c r="H57" s="64"/>
      <c r="I57" s="64"/>
      <c r="J57" s="1"/>
      <c r="K57" s="1"/>
      <c r="L57" s="1"/>
      <c r="M57" s="1"/>
      <c r="N57" s="1"/>
      <c r="O57" s="1"/>
      <c r="P57" s="1"/>
      <c r="Q57" s="1"/>
      <c r="R57" s="66"/>
      <c r="S57" s="37"/>
      <c r="T57" s="57"/>
      <c r="U57" s="37"/>
      <c r="V57" s="37"/>
      <c r="W57" s="37"/>
      <c r="X57" s="37"/>
      <c r="Y57" s="37"/>
      <c r="Z57" s="37"/>
      <c r="AA57" s="37"/>
      <c r="AB57" s="37"/>
      <c r="AC57" s="37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37"/>
      <c r="C228" s="38"/>
      <c r="D228" s="39"/>
      <c r="E228" s="39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37"/>
      <c r="C229" s="38"/>
      <c r="D229" s="39"/>
      <c r="E229" s="39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2.75" customHeight="1" spans="1:29">
      <c r="A252" s="37"/>
      <c r="B252" s="43"/>
      <c r="C252" s="58"/>
      <c r="D252" s="59"/>
      <c r="E252" s="59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2.75" customHeight="1" spans="1:29">
      <c r="A253" s="37"/>
      <c r="B253" s="43"/>
      <c r="C253" s="58"/>
      <c r="D253" s="59"/>
      <c r="E253" s="59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7:H57 G11:G56 H2:H3 L11:L57 M2:M3 O11:O5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26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80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COUNTA(B11:B960)-COUNTIF($N11:$N960,"Skip")</f>
        <v>16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COUNTIF($G11:$G960,C5)</f>
        <v>16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COUNTIF($L11:$L960,C5)</f>
        <v>16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COUNTIF($O11:$O960,C5)</f>
        <v>16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330" spans="1:29">
      <c r="A11" s="30" t="s">
        <v>79</v>
      </c>
      <c r="B11" s="30" t="s">
        <v>633</v>
      </c>
      <c r="C11" s="30" t="s">
        <v>961</v>
      </c>
      <c r="D11" s="31" t="s">
        <v>277</v>
      </c>
      <c r="E11" s="31" t="s">
        <v>962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4</v>
      </c>
      <c r="L11" s="42" t="s">
        <v>209</v>
      </c>
      <c r="M11" s="40">
        <v>45993</v>
      </c>
      <c r="N11" s="41" t="s">
        <v>4</v>
      </c>
      <c r="O11" s="42" t="s">
        <v>209</v>
      </c>
      <c r="P11" s="40">
        <v>45995</v>
      </c>
      <c r="Q11" s="41" t="s">
        <v>4</v>
      </c>
      <c r="R11" s="4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330" spans="1:29">
      <c r="A12" s="30" t="s">
        <v>79</v>
      </c>
      <c r="B12" s="30" t="s">
        <v>636</v>
      </c>
      <c r="C12" s="30" t="s">
        <v>963</v>
      </c>
      <c r="D12" s="31" t="s">
        <v>964</v>
      </c>
      <c r="E12" s="31" t="s">
        <v>962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4</v>
      </c>
      <c r="L12" s="42" t="s">
        <v>209</v>
      </c>
      <c r="M12" s="40">
        <v>45993</v>
      </c>
      <c r="N12" s="41" t="s">
        <v>4</v>
      </c>
      <c r="O12" s="42" t="s">
        <v>209</v>
      </c>
      <c r="P12" s="40">
        <v>45995</v>
      </c>
      <c r="Q12" s="41" t="s">
        <v>4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39.6" spans="1:29">
      <c r="A13" s="30" t="s">
        <v>79</v>
      </c>
      <c r="B13" s="30" t="s">
        <v>638</v>
      </c>
      <c r="C13" s="30" t="s">
        <v>965</v>
      </c>
      <c r="D13" s="31" t="s">
        <v>277</v>
      </c>
      <c r="E13" s="31" t="s">
        <v>342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4</v>
      </c>
      <c r="L13" s="42" t="s">
        <v>209</v>
      </c>
      <c r="M13" s="40">
        <v>45993</v>
      </c>
      <c r="N13" s="41" t="s">
        <v>4</v>
      </c>
      <c r="O13" s="42" t="s">
        <v>209</v>
      </c>
      <c r="P13" s="40">
        <v>45995</v>
      </c>
      <c r="Q13" s="41" t="s">
        <v>4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52.8" spans="1:29">
      <c r="A14" s="30" t="s">
        <v>79</v>
      </c>
      <c r="B14" s="30" t="s">
        <v>966</v>
      </c>
      <c r="C14" s="30" t="s">
        <v>967</v>
      </c>
      <c r="D14" s="31" t="s">
        <v>968</v>
      </c>
      <c r="E14" s="31" t="s">
        <v>969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4</v>
      </c>
      <c r="L14" s="42" t="s">
        <v>209</v>
      </c>
      <c r="M14" s="40">
        <v>45993</v>
      </c>
      <c r="N14" s="41" t="s">
        <v>4</v>
      </c>
      <c r="O14" s="42" t="s">
        <v>209</v>
      </c>
      <c r="P14" s="40">
        <v>45995</v>
      </c>
      <c r="Q14" s="41" t="s">
        <v>4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39.6" spans="1:29">
      <c r="A15" s="30" t="s">
        <v>70</v>
      </c>
      <c r="B15" s="30" t="s">
        <v>641</v>
      </c>
      <c r="C15" s="30" t="s">
        <v>970</v>
      </c>
      <c r="D15" s="31" t="s">
        <v>971</v>
      </c>
      <c r="E15" s="31" t="s">
        <v>972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4</v>
      </c>
      <c r="L15" s="42" t="s">
        <v>209</v>
      </c>
      <c r="M15" s="40">
        <v>45993</v>
      </c>
      <c r="N15" s="41" t="s">
        <v>4</v>
      </c>
      <c r="O15" s="42" t="s">
        <v>209</v>
      </c>
      <c r="P15" s="40">
        <v>45995</v>
      </c>
      <c r="Q15" s="41" t="s">
        <v>4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39.6" spans="1:29">
      <c r="A16" s="30" t="s">
        <v>70</v>
      </c>
      <c r="B16" s="30" t="s">
        <v>646</v>
      </c>
      <c r="C16" s="30" t="s">
        <v>973</v>
      </c>
      <c r="D16" s="31" t="s">
        <v>974</v>
      </c>
      <c r="E16" s="31" t="s">
        <v>975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4</v>
      </c>
      <c r="L16" s="42" t="s">
        <v>209</v>
      </c>
      <c r="M16" s="40">
        <v>45993</v>
      </c>
      <c r="N16" s="41" t="s">
        <v>4</v>
      </c>
      <c r="O16" s="42" t="s">
        <v>209</v>
      </c>
      <c r="P16" s="40">
        <v>45995</v>
      </c>
      <c r="Q16" s="41" t="s">
        <v>4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39.6" spans="1:29">
      <c r="A17" s="30" t="s">
        <v>70</v>
      </c>
      <c r="B17" s="30" t="s">
        <v>650</v>
      </c>
      <c r="C17" s="30" t="s">
        <v>976</v>
      </c>
      <c r="D17" s="31" t="s">
        <v>971</v>
      </c>
      <c r="E17" s="31" t="s">
        <v>975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4</v>
      </c>
      <c r="L17" s="42" t="s">
        <v>209</v>
      </c>
      <c r="M17" s="40">
        <v>45993</v>
      </c>
      <c r="N17" s="41" t="s">
        <v>4</v>
      </c>
      <c r="O17" s="42" t="s">
        <v>209</v>
      </c>
      <c r="P17" s="40">
        <v>45995</v>
      </c>
      <c r="Q17" s="41" t="s">
        <v>4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237.6" spans="1:29">
      <c r="A18" s="30" t="s">
        <v>81</v>
      </c>
      <c r="B18" s="30" t="s">
        <v>653</v>
      </c>
      <c r="C18" s="30" t="s">
        <v>977</v>
      </c>
      <c r="D18" s="31" t="s">
        <v>971</v>
      </c>
      <c r="E18" s="31" t="s">
        <v>978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4</v>
      </c>
      <c r="L18" s="42" t="s">
        <v>209</v>
      </c>
      <c r="M18" s="40">
        <v>45993</v>
      </c>
      <c r="N18" s="41" t="s">
        <v>4</v>
      </c>
      <c r="O18" s="42" t="s">
        <v>209</v>
      </c>
      <c r="P18" s="40">
        <v>45995</v>
      </c>
      <c r="Q18" s="41" t="s">
        <v>4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39.6" spans="1:29">
      <c r="A19" s="30" t="s">
        <v>81</v>
      </c>
      <c r="B19" s="30" t="s">
        <v>657</v>
      </c>
      <c r="C19" s="30" t="s">
        <v>979</v>
      </c>
      <c r="D19" s="31" t="s">
        <v>980</v>
      </c>
      <c r="E19" s="31" t="s">
        <v>342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4</v>
      </c>
      <c r="L19" s="42" t="s">
        <v>209</v>
      </c>
      <c r="M19" s="40">
        <v>45993</v>
      </c>
      <c r="N19" s="41" t="s">
        <v>4</v>
      </c>
      <c r="O19" s="42" t="s">
        <v>209</v>
      </c>
      <c r="P19" s="40">
        <v>45995</v>
      </c>
      <c r="Q19" s="41" t="s">
        <v>4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39.6" spans="1:29">
      <c r="A20" s="30" t="s">
        <v>81</v>
      </c>
      <c r="B20" s="30" t="s">
        <v>661</v>
      </c>
      <c r="C20" s="30" t="s">
        <v>981</v>
      </c>
      <c r="D20" s="31" t="s">
        <v>974</v>
      </c>
      <c r="E20" s="31" t="s">
        <v>975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4</v>
      </c>
      <c r="L20" s="42" t="s">
        <v>209</v>
      </c>
      <c r="M20" s="40">
        <v>45993</v>
      </c>
      <c r="N20" s="41" t="s">
        <v>4</v>
      </c>
      <c r="O20" s="42" t="s">
        <v>209</v>
      </c>
      <c r="P20" s="40">
        <v>45995</v>
      </c>
      <c r="Q20" s="41" t="s">
        <v>4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79.2" spans="1:29">
      <c r="A21" s="30" t="s">
        <v>82</v>
      </c>
      <c r="B21" s="30" t="s">
        <v>665</v>
      </c>
      <c r="C21" s="30" t="s">
        <v>982</v>
      </c>
      <c r="D21" s="31" t="s">
        <v>983</v>
      </c>
      <c r="E21" s="31" t="s">
        <v>984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4</v>
      </c>
      <c r="L21" s="42" t="s">
        <v>209</v>
      </c>
      <c r="M21" s="40">
        <v>45993</v>
      </c>
      <c r="N21" s="41" t="s">
        <v>4</v>
      </c>
      <c r="O21" s="42" t="s">
        <v>209</v>
      </c>
      <c r="P21" s="40">
        <v>45995</v>
      </c>
      <c r="Q21" s="41" t="s">
        <v>4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66" spans="1:29">
      <c r="A22" s="30" t="s">
        <v>82</v>
      </c>
      <c r="B22" s="30" t="s">
        <v>669</v>
      </c>
      <c r="C22" s="30" t="s">
        <v>985</v>
      </c>
      <c r="D22" s="31" t="s">
        <v>986</v>
      </c>
      <c r="E22" s="31" t="s">
        <v>987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4</v>
      </c>
      <c r="L22" s="42" t="s">
        <v>209</v>
      </c>
      <c r="M22" s="40">
        <v>45993</v>
      </c>
      <c r="N22" s="41" t="s">
        <v>4</v>
      </c>
      <c r="O22" s="42" t="s">
        <v>209</v>
      </c>
      <c r="P22" s="40">
        <v>45995</v>
      </c>
      <c r="Q22" s="41" t="s">
        <v>4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66" spans="1:29">
      <c r="A23" s="30" t="s">
        <v>82</v>
      </c>
      <c r="B23" s="30" t="s">
        <v>672</v>
      </c>
      <c r="C23" s="30" t="s">
        <v>988</v>
      </c>
      <c r="D23" s="31" t="s">
        <v>989</v>
      </c>
      <c r="E23" s="31" t="s">
        <v>987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4</v>
      </c>
      <c r="L23" s="42" t="s">
        <v>209</v>
      </c>
      <c r="M23" s="40">
        <v>45993</v>
      </c>
      <c r="N23" s="41" t="s">
        <v>4</v>
      </c>
      <c r="O23" s="42" t="s">
        <v>209</v>
      </c>
      <c r="P23" s="40">
        <v>45995</v>
      </c>
      <c r="Q23" s="41" t="s">
        <v>4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66" spans="1:29">
      <c r="A24" s="30" t="s">
        <v>82</v>
      </c>
      <c r="B24" s="30" t="s">
        <v>990</v>
      </c>
      <c r="C24" s="30" t="s">
        <v>991</v>
      </c>
      <c r="D24" s="31" t="s">
        <v>992</v>
      </c>
      <c r="E24" s="31" t="s">
        <v>993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4</v>
      </c>
      <c r="L24" s="42" t="s">
        <v>209</v>
      </c>
      <c r="M24" s="40">
        <v>45993</v>
      </c>
      <c r="N24" s="41" t="s">
        <v>4</v>
      </c>
      <c r="O24" s="42" t="s">
        <v>209</v>
      </c>
      <c r="P24" s="40">
        <v>45995</v>
      </c>
      <c r="Q24" s="41" t="s">
        <v>4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66" spans="1:29">
      <c r="A25" s="30" t="s">
        <v>82</v>
      </c>
      <c r="B25" s="30" t="s">
        <v>994</v>
      </c>
      <c r="C25" s="30" t="s">
        <v>995</v>
      </c>
      <c r="D25" s="31" t="s">
        <v>996</v>
      </c>
      <c r="E25" s="31" t="s">
        <v>993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4</v>
      </c>
      <c r="L25" s="42" t="s">
        <v>209</v>
      </c>
      <c r="M25" s="40">
        <v>45993</v>
      </c>
      <c r="N25" s="41" t="s">
        <v>4</v>
      </c>
      <c r="O25" s="42" t="s">
        <v>209</v>
      </c>
      <c r="P25" s="40">
        <v>45995</v>
      </c>
      <c r="Q25" s="41" t="s">
        <v>4</v>
      </c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66" outlineLevel="1" spans="1:29">
      <c r="A26" s="30" t="s">
        <v>82</v>
      </c>
      <c r="B26" s="30" t="s">
        <v>997</v>
      </c>
      <c r="C26" s="30" t="s">
        <v>998</v>
      </c>
      <c r="D26" s="31" t="s">
        <v>999</v>
      </c>
      <c r="E26" s="31" t="s">
        <v>1000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4</v>
      </c>
      <c r="L26" s="42" t="s">
        <v>209</v>
      </c>
      <c r="M26" s="40">
        <v>45993</v>
      </c>
      <c r="N26" s="41" t="s">
        <v>4</v>
      </c>
      <c r="O26" s="42" t="s">
        <v>209</v>
      </c>
      <c r="P26" s="40">
        <v>45995</v>
      </c>
      <c r="Q26" s="41" t="s">
        <v>4</v>
      </c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13.8" outlineLevel="1" spans="1:29">
      <c r="A27" s="30"/>
      <c r="B27" s="30"/>
      <c r="C27" s="30"/>
      <c r="D27" s="31"/>
      <c r="E27" s="31"/>
      <c r="F27" s="30"/>
      <c r="G27" s="32"/>
      <c r="H27" s="33"/>
      <c r="I27" s="33"/>
      <c r="J27" s="40"/>
      <c r="K27" s="41"/>
      <c r="L27" s="42"/>
      <c r="M27" s="40"/>
      <c r="N27" s="41"/>
      <c r="O27" s="42"/>
      <c r="P27" s="40"/>
      <c r="Q27" s="41"/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13.8" outlineLevel="1" spans="1:29">
      <c r="A28" s="30"/>
      <c r="B28" s="30"/>
      <c r="C28" s="30"/>
      <c r="D28" s="31"/>
      <c r="E28" s="31"/>
      <c r="F28" s="30"/>
      <c r="G28" s="32"/>
      <c r="H28" s="33"/>
      <c r="I28" s="33"/>
      <c r="J28" s="40"/>
      <c r="K28" s="41"/>
      <c r="L28" s="42"/>
      <c r="M28" s="40"/>
      <c r="N28" s="41"/>
      <c r="O28" s="42"/>
      <c r="P28" s="40"/>
      <c r="Q28" s="41"/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13.8" outlineLevel="1" spans="1:29">
      <c r="A29" s="30"/>
      <c r="B29" s="30"/>
      <c r="C29" s="30"/>
      <c r="D29" s="31"/>
      <c r="E29" s="31"/>
      <c r="F29" s="30"/>
      <c r="G29" s="32"/>
      <c r="H29" s="33"/>
      <c r="I29" s="33"/>
      <c r="J29" s="40"/>
      <c r="K29" s="41"/>
      <c r="L29" s="42"/>
      <c r="M29" s="40"/>
      <c r="N29" s="41"/>
      <c r="O29" s="42"/>
      <c r="P29" s="40"/>
      <c r="Q29" s="41"/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13.8" outlineLevel="1" spans="1:29">
      <c r="A30" s="30"/>
      <c r="B30" s="30"/>
      <c r="C30" s="30"/>
      <c r="D30" s="31"/>
      <c r="E30" s="31"/>
      <c r="F30" s="30"/>
      <c r="G30" s="32"/>
      <c r="H30" s="33"/>
      <c r="I30" s="33"/>
      <c r="J30" s="40"/>
      <c r="K30" s="41"/>
      <c r="L30" s="42"/>
      <c r="M30" s="40"/>
      <c r="N30" s="41"/>
      <c r="O30" s="42"/>
      <c r="P30" s="40"/>
      <c r="Q30" s="41"/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13.8" outlineLevel="1" spans="1:29">
      <c r="A31" s="30"/>
      <c r="B31" s="30"/>
      <c r="C31" s="30"/>
      <c r="D31" s="31"/>
      <c r="E31" s="31"/>
      <c r="F31" s="30"/>
      <c r="G31" s="32"/>
      <c r="H31" s="33"/>
      <c r="I31" s="33"/>
      <c r="J31" s="40"/>
      <c r="K31" s="41"/>
      <c r="L31" s="42"/>
      <c r="M31" s="40"/>
      <c r="N31" s="41"/>
      <c r="O31" s="42"/>
      <c r="P31" s="40"/>
      <c r="Q31" s="41"/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13.8" outlineLevel="1" spans="1:29">
      <c r="A32" s="30"/>
      <c r="B32" s="30"/>
      <c r="C32" s="30"/>
      <c r="D32" s="31"/>
      <c r="E32" s="31"/>
      <c r="F32" s="30"/>
      <c r="G32" s="32"/>
      <c r="H32" s="33"/>
      <c r="I32" s="33"/>
      <c r="J32" s="40"/>
      <c r="K32" s="41"/>
      <c r="L32" s="42"/>
      <c r="M32" s="40"/>
      <c r="N32" s="41"/>
      <c r="O32" s="42"/>
      <c r="P32" s="40"/>
      <c r="Q32" s="41"/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3.8" outlineLevel="1" spans="1:29">
      <c r="A33" s="30"/>
      <c r="B33" s="30"/>
      <c r="C33" s="30"/>
      <c r="D33" s="31"/>
      <c r="E33" s="31"/>
      <c r="F33" s="30"/>
      <c r="G33" s="32"/>
      <c r="H33" s="33"/>
      <c r="I33" s="33"/>
      <c r="J33" s="40"/>
      <c r="K33" s="41"/>
      <c r="L33" s="42"/>
      <c r="M33" s="40"/>
      <c r="N33" s="41"/>
      <c r="O33" s="42"/>
      <c r="P33" s="40"/>
      <c r="Q33" s="41"/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3.8" outlineLevel="1" spans="1:29">
      <c r="A34" s="30"/>
      <c r="B34" s="30"/>
      <c r="C34" s="30"/>
      <c r="D34" s="31"/>
      <c r="E34" s="31"/>
      <c r="F34" s="30"/>
      <c r="G34" s="32"/>
      <c r="H34" s="33"/>
      <c r="I34" s="33"/>
      <c r="J34" s="40"/>
      <c r="K34" s="41"/>
      <c r="L34" s="42"/>
      <c r="M34" s="40"/>
      <c r="N34" s="41"/>
      <c r="O34" s="42"/>
      <c r="P34" s="40"/>
      <c r="Q34" s="41"/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3.8" outlineLevel="1" spans="1:29">
      <c r="A35" s="30"/>
      <c r="B35" s="30"/>
      <c r="C35" s="30"/>
      <c r="D35" s="31"/>
      <c r="E35" s="31"/>
      <c r="F35" s="30"/>
      <c r="G35" s="32"/>
      <c r="H35" s="33"/>
      <c r="I35" s="33"/>
      <c r="J35" s="40"/>
      <c r="K35" s="41"/>
      <c r="L35" s="42"/>
      <c r="M35" s="40"/>
      <c r="N35" s="41"/>
      <c r="O35" s="42"/>
      <c r="P35" s="40"/>
      <c r="Q35" s="41"/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3.8" outlineLevel="1" spans="1:29">
      <c r="A36" s="30"/>
      <c r="B36" s="30"/>
      <c r="C36" s="30"/>
      <c r="D36" s="31"/>
      <c r="E36" s="31"/>
      <c r="F36" s="30"/>
      <c r="G36" s="32"/>
      <c r="H36" s="33"/>
      <c r="I36" s="33"/>
      <c r="J36" s="40"/>
      <c r="K36" s="41"/>
      <c r="L36" s="42"/>
      <c r="M36" s="40"/>
      <c r="N36" s="41"/>
      <c r="O36" s="42"/>
      <c r="P36" s="40"/>
      <c r="Q36" s="41"/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3.8" outlineLevel="1" spans="1:29">
      <c r="A37" s="30"/>
      <c r="B37" s="30"/>
      <c r="C37" s="30"/>
      <c r="D37" s="31"/>
      <c r="E37" s="31"/>
      <c r="F37" s="30"/>
      <c r="G37" s="32"/>
      <c r="H37" s="33"/>
      <c r="I37" s="33"/>
      <c r="J37" s="40"/>
      <c r="K37" s="41"/>
      <c r="L37" s="42"/>
      <c r="M37" s="40"/>
      <c r="N37" s="41"/>
      <c r="O37" s="42"/>
      <c r="P37" s="40"/>
      <c r="Q37" s="41"/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8" outlineLevel="1" spans="1:29">
      <c r="A38" s="30"/>
      <c r="B38" s="30"/>
      <c r="C38" s="30"/>
      <c r="D38" s="31"/>
      <c r="E38" s="31"/>
      <c r="F38" s="30"/>
      <c r="G38" s="32"/>
      <c r="H38" s="33"/>
      <c r="I38" s="33"/>
      <c r="J38" s="42"/>
      <c r="K38" s="41"/>
      <c r="L38" s="42"/>
      <c r="M38" s="42"/>
      <c r="N38" s="41"/>
      <c r="O38" s="42"/>
      <c r="P38" s="42"/>
      <c r="Q38" s="41"/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8" outlineLevel="1" spans="1:29">
      <c r="A39" s="30"/>
      <c r="B39" s="30"/>
      <c r="C39" s="30"/>
      <c r="D39" s="31"/>
      <c r="E39" s="31"/>
      <c r="F39" s="30"/>
      <c r="G39" s="32"/>
      <c r="H39" s="33"/>
      <c r="I39" s="33"/>
      <c r="J39" s="42"/>
      <c r="K39" s="41"/>
      <c r="L39" s="42"/>
      <c r="M39" s="42"/>
      <c r="N39" s="41"/>
      <c r="O39" s="42"/>
      <c r="P39" s="42"/>
      <c r="Q39" s="41"/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8" outlineLevel="1" spans="1:29">
      <c r="A40" s="30"/>
      <c r="B40" s="30"/>
      <c r="C40" s="30"/>
      <c r="D40" s="31"/>
      <c r="E40" s="31"/>
      <c r="F40" s="30"/>
      <c r="G40" s="32"/>
      <c r="H40" s="33"/>
      <c r="I40" s="33"/>
      <c r="J40" s="42"/>
      <c r="K40" s="41"/>
      <c r="L40" s="42"/>
      <c r="M40" s="42"/>
      <c r="N40" s="41"/>
      <c r="O40" s="42"/>
      <c r="P40" s="42"/>
      <c r="Q40" s="41"/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8" outlineLevel="1" spans="1:29">
      <c r="A41" s="30"/>
      <c r="B41" s="30"/>
      <c r="C41" s="30"/>
      <c r="D41" s="31"/>
      <c r="E41" s="31"/>
      <c r="F41" s="30"/>
      <c r="G41" s="32"/>
      <c r="H41" s="33"/>
      <c r="I41" s="33"/>
      <c r="J41" s="42"/>
      <c r="K41" s="41"/>
      <c r="L41" s="42"/>
      <c r="M41" s="42"/>
      <c r="N41" s="41"/>
      <c r="O41" s="42"/>
      <c r="P41" s="42"/>
      <c r="Q41" s="41"/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8" outlineLevel="1" spans="1:29">
      <c r="A42" s="30"/>
      <c r="B42" s="30"/>
      <c r="C42" s="30"/>
      <c r="D42" s="31"/>
      <c r="E42" s="31"/>
      <c r="F42" s="30"/>
      <c r="G42" s="32"/>
      <c r="H42" s="33"/>
      <c r="I42" s="33"/>
      <c r="J42" s="42"/>
      <c r="K42" s="41"/>
      <c r="L42" s="42"/>
      <c r="M42" s="42"/>
      <c r="N42" s="41"/>
      <c r="O42" s="42"/>
      <c r="P42" s="42"/>
      <c r="Q42" s="41"/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8" outlineLevel="1" spans="1:29">
      <c r="A43" s="30"/>
      <c r="B43" s="30"/>
      <c r="C43" s="30"/>
      <c r="D43" s="31"/>
      <c r="E43" s="31"/>
      <c r="F43" s="30"/>
      <c r="G43" s="32"/>
      <c r="H43" s="33"/>
      <c r="I43" s="33"/>
      <c r="J43" s="42"/>
      <c r="K43" s="41"/>
      <c r="L43" s="42"/>
      <c r="M43" s="42"/>
      <c r="N43" s="41"/>
      <c r="O43" s="42"/>
      <c r="P43" s="42"/>
      <c r="Q43" s="41"/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8" outlineLevel="1" spans="1:29">
      <c r="A44" s="30"/>
      <c r="B44" s="30"/>
      <c r="C44" s="30"/>
      <c r="D44" s="31"/>
      <c r="E44" s="31"/>
      <c r="F44" s="30"/>
      <c r="G44" s="32"/>
      <c r="H44" s="33"/>
      <c r="I44" s="33"/>
      <c r="J44" s="42"/>
      <c r="K44" s="41"/>
      <c r="L44" s="42"/>
      <c r="M44" s="42"/>
      <c r="N44" s="41"/>
      <c r="O44" s="42"/>
      <c r="P44" s="42"/>
      <c r="Q44" s="41"/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8" outlineLevel="1" spans="1:29">
      <c r="A45" s="30"/>
      <c r="B45" s="30"/>
      <c r="C45" s="30"/>
      <c r="D45" s="31"/>
      <c r="E45" s="31"/>
      <c r="F45" s="30"/>
      <c r="G45" s="32"/>
      <c r="H45" s="33"/>
      <c r="I45" s="33"/>
      <c r="J45" s="42"/>
      <c r="K45" s="41"/>
      <c r="L45" s="42"/>
      <c r="M45" s="42"/>
      <c r="N45" s="41"/>
      <c r="O45" s="42"/>
      <c r="P45" s="42"/>
      <c r="Q45" s="41"/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8" outlineLevel="1" spans="1:29">
      <c r="A46" s="30"/>
      <c r="B46" s="30"/>
      <c r="C46" s="30"/>
      <c r="D46" s="31"/>
      <c r="E46" s="31"/>
      <c r="F46" s="30"/>
      <c r="G46" s="32"/>
      <c r="H46" s="33"/>
      <c r="I46" s="33"/>
      <c r="J46" s="42"/>
      <c r="K46" s="41"/>
      <c r="L46" s="42"/>
      <c r="M46" s="42"/>
      <c r="N46" s="41"/>
      <c r="O46" s="42"/>
      <c r="P46" s="42"/>
      <c r="Q46" s="41"/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8" outlineLevel="1" spans="1:29">
      <c r="A47" s="30"/>
      <c r="B47" s="30"/>
      <c r="C47" s="30"/>
      <c r="D47" s="31"/>
      <c r="E47" s="31"/>
      <c r="F47" s="30"/>
      <c r="G47" s="32"/>
      <c r="H47" s="33"/>
      <c r="I47" s="33"/>
      <c r="J47" s="42"/>
      <c r="K47" s="41"/>
      <c r="L47" s="42"/>
      <c r="M47" s="42"/>
      <c r="N47" s="41"/>
      <c r="O47" s="42"/>
      <c r="P47" s="42"/>
      <c r="Q47" s="41"/>
      <c r="R47" s="30"/>
      <c r="S47" s="43"/>
      <c r="T47" s="53"/>
      <c r="U47" s="43"/>
      <c r="V47" s="43"/>
      <c r="W47" s="43"/>
      <c r="X47" s="43"/>
      <c r="Y47" s="43"/>
      <c r="Z47" s="43"/>
      <c r="AA47" s="43"/>
      <c r="AB47" s="43"/>
      <c r="AC47" s="43"/>
    </row>
    <row r="48" ht="13.8" outlineLevel="1" spans="1:29">
      <c r="A48" s="30"/>
      <c r="B48" s="30"/>
      <c r="C48" s="30"/>
      <c r="D48" s="31"/>
      <c r="E48" s="31"/>
      <c r="F48" s="30"/>
      <c r="G48" s="32"/>
      <c r="H48" s="33"/>
      <c r="I48" s="33"/>
      <c r="J48" s="42"/>
      <c r="K48" s="41"/>
      <c r="L48" s="42"/>
      <c r="M48" s="42"/>
      <c r="N48" s="41"/>
      <c r="O48" s="42"/>
      <c r="P48" s="42"/>
      <c r="Q48" s="41"/>
      <c r="R48" s="30"/>
      <c r="S48" s="43"/>
      <c r="T48" s="53"/>
      <c r="U48" s="43"/>
      <c r="V48" s="43"/>
      <c r="W48" s="43"/>
      <c r="X48" s="43"/>
      <c r="Y48" s="43"/>
      <c r="Z48" s="43"/>
      <c r="AA48" s="43"/>
      <c r="AB48" s="43"/>
      <c r="AC48" s="43"/>
    </row>
    <row r="49" ht="13.8" spans="1:29">
      <c r="A49" s="30"/>
      <c r="B49" s="30"/>
      <c r="C49" s="30"/>
      <c r="D49" s="31"/>
      <c r="E49" s="31"/>
      <c r="F49" s="30"/>
      <c r="G49" s="32"/>
      <c r="H49" s="33"/>
      <c r="I49" s="33"/>
      <c r="J49" s="42"/>
      <c r="K49" s="41"/>
      <c r="L49" s="42"/>
      <c r="M49" s="42"/>
      <c r="N49" s="41"/>
      <c r="O49" s="42"/>
      <c r="P49" s="42"/>
      <c r="Q49" s="41"/>
      <c r="R49" s="30"/>
      <c r="S49" s="47"/>
      <c r="T49" s="51"/>
      <c r="U49" s="47"/>
      <c r="V49" s="47"/>
      <c r="W49" s="47"/>
      <c r="X49" s="47"/>
      <c r="Y49" s="47"/>
      <c r="Z49" s="47"/>
      <c r="AA49" s="47"/>
      <c r="AB49" s="47"/>
      <c r="AC49" s="47"/>
    </row>
    <row r="50" ht="13.8" spans="1:29">
      <c r="A50" s="30"/>
      <c r="B50" s="30"/>
      <c r="C50" s="30"/>
      <c r="D50" s="31"/>
      <c r="E50" s="31"/>
      <c r="F50" s="30"/>
      <c r="G50" s="32"/>
      <c r="H50" s="33"/>
      <c r="I50" s="33"/>
      <c r="J50" s="42"/>
      <c r="K50" s="41"/>
      <c r="L50" s="42"/>
      <c r="M50" s="42"/>
      <c r="N50" s="41"/>
      <c r="O50" s="42"/>
      <c r="P50" s="42"/>
      <c r="Q50" s="41"/>
      <c r="R50" s="30"/>
      <c r="S50" s="54"/>
      <c r="T50" s="55"/>
      <c r="U50" s="54"/>
      <c r="V50" s="54"/>
      <c r="W50" s="54"/>
      <c r="X50" s="54"/>
      <c r="Y50" s="54"/>
      <c r="Z50" s="54"/>
      <c r="AA50" s="54"/>
      <c r="AB50" s="54"/>
      <c r="AC50" s="54"/>
    </row>
    <row r="51" ht="13.8" spans="1:29">
      <c r="A51" s="30"/>
      <c r="B51" s="30"/>
      <c r="C51" s="30"/>
      <c r="D51" s="31"/>
      <c r="E51" s="31"/>
      <c r="F51" s="30"/>
      <c r="G51" s="32"/>
      <c r="H51" s="33"/>
      <c r="I51" s="33"/>
      <c r="J51" s="42"/>
      <c r="K51" s="41"/>
      <c r="L51" s="42"/>
      <c r="M51" s="42"/>
      <c r="N51" s="41"/>
      <c r="O51" s="42"/>
      <c r="P51" s="42"/>
      <c r="Q51" s="41"/>
      <c r="R51" s="30"/>
      <c r="S51" s="54"/>
      <c r="T51" s="55"/>
      <c r="U51" s="54"/>
      <c r="V51" s="54"/>
      <c r="W51" s="54"/>
      <c r="X51" s="54"/>
      <c r="Y51" s="54"/>
      <c r="Z51" s="54"/>
      <c r="AA51" s="54"/>
      <c r="AB51" s="54"/>
      <c r="AC51" s="54"/>
    </row>
    <row r="52" ht="13.8" outlineLevel="1" spans="1:29">
      <c r="A52" s="30"/>
      <c r="B52" s="30"/>
      <c r="C52" s="30"/>
      <c r="D52" s="31"/>
      <c r="E52" s="31"/>
      <c r="F52" s="30"/>
      <c r="G52" s="32"/>
      <c r="H52" s="33"/>
      <c r="I52" s="33"/>
      <c r="J52" s="42"/>
      <c r="K52" s="41"/>
      <c r="L52" s="42"/>
      <c r="M52" s="42"/>
      <c r="N52" s="41"/>
      <c r="O52" s="42"/>
      <c r="P52" s="42"/>
      <c r="Q52" s="41"/>
      <c r="R52" s="30"/>
      <c r="S52" s="37"/>
      <c r="T52" s="56"/>
      <c r="U52" s="37"/>
      <c r="V52" s="37"/>
      <c r="W52" s="37"/>
      <c r="X52" s="37"/>
      <c r="Y52" s="37"/>
      <c r="Z52" s="37"/>
      <c r="AA52" s="37"/>
      <c r="AB52" s="37"/>
      <c r="AC52" s="37"/>
    </row>
    <row r="53" ht="13.8" outlineLevel="1" spans="1:29">
      <c r="A53" s="30"/>
      <c r="B53" s="30"/>
      <c r="C53" s="30"/>
      <c r="D53" s="31"/>
      <c r="E53" s="31"/>
      <c r="F53" s="30"/>
      <c r="G53" s="32"/>
      <c r="H53" s="33"/>
      <c r="I53" s="33"/>
      <c r="J53" s="42"/>
      <c r="K53" s="41"/>
      <c r="L53" s="42"/>
      <c r="M53" s="42"/>
      <c r="N53" s="41"/>
      <c r="O53" s="42"/>
      <c r="P53" s="42"/>
      <c r="Q53" s="41"/>
      <c r="R53" s="30"/>
      <c r="S53" s="37"/>
      <c r="T53" s="56"/>
      <c r="U53" s="37"/>
      <c r="V53" s="37"/>
      <c r="W53" s="37"/>
      <c r="X53" s="37"/>
      <c r="Y53" s="37"/>
      <c r="Z53" s="37"/>
      <c r="AA53" s="37"/>
      <c r="AB53" s="37"/>
      <c r="AC53" s="37"/>
    </row>
    <row r="54" ht="64.5" customHeight="1" outlineLevel="1" spans="1:29">
      <c r="A54" s="62"/>
      <c r="B54" s="62"/>
      <c r="C54" s="62"/>
      <c r="D54" s="63"/>
      <c r="E54" s="63"/>
      <c r="F54" s="62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62"/>
      <c r="S54" s="37"/>
      <c r="T54" s="57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62"/>
      <c r="B55" s="62"/>
      <c r="C55" s="62"/>
      <c r="D55" s="63"/>
      <c r="E55" s="63"/>
      <c r="F55" s="62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67"/>
      <c r="S55" s="54"/>
      <c r="T55" s="55"/>
      <c r="U55" s="54"/>
      <c r="V55" s="54"/>
      <c r="W55" s="54"/>
      <c r="X55" s="54"/>
      <c r="Y55" s="54"/>
      <c r="Z55" s="54"/>
      <c r="AA55" s="54"/>
      <c r="AB55" s="54"/>
      <c r="AC55" s="54"/>
    </row>
    <row r="56" ht="64.5" customHeight="1" outlineLevel="1" spans="1:29">
      <c r="A56" s="62"/>
      <c r="B56" s="62"/>
      <c r="C56" s="62"/>
      <c r="D56" s="63"/>
      <c r="E56" s="63"/>
      <c r="F56" s="62"/>
      <c r="G56" s="1"/>
      <c r="H56" s="64"/>
      <c r="I56" s="64"/>
      <c r="J56" s="1"/>
      <c r="K56" s="1"/>
      <c r="L56" s="1"/>
      <c r="M56" s="1"/>
      <c r="N56" s="1"/>
      <c r="O56" s="1"/>
      <c r="P56" s="1"/>
      <c r="Q56" s="1"/>
      <c r="R56" s="67"/>
      <c r="S56" s="37"/>
      <c r="T56" s="56"/>
      <c r="U56" s="37"/>
      <c r="V56" s="37"/>
      <c r="W56" s="37"/>
      <c r="X56" s="37"/>
      <c r="Y56" s="37"/>
      <c r="Z56" s="37"/>
      <c r="AA56" s="37"/>
      <c r="AB56" s="37"/>
      <c r="AC56" s="37"/>
    </row>
    <row r="57" ht="64.5" customHeight="1" spans="1:29">
      <c r="A57" s="62"/>
      <c r="B57" s="62"/>
      <c r="C57" s="62"/>
      <c r="D57" s="65"/>
      <c r="E57" s="65"/>
      <c r="F57" s="66"/>
      <c r="G57" s="1"/>
      <c r="H57" s="64"/>
      <c r="I57" s="64"/>
      <c r="J57" s="1"/>
      <c r="K57" s="1"/>
      <c r="L57" s="1"/>
      <c r="M57" s="1"/>
      <c r="N57" s="1"/>
      <c r="O57" s="1"/>
      <c r="P57" s="1"/>
      <c r="Q57" s="1"/>
      <c r="R57" s="66"/>
      <c r="S57" s="37"/>
      <c r="T57" s="57"/>
      <c r="U57" s="37"/>
      <c r="V57" s="37"/>
      <c r="W57" s="37"/>
      <c r="X57" s="37"/>
      <c r="Y57" s="37"/>
      <c r="Z57" s="37"/>
      <c r="AA57" s="37"/>
      <c r="AB57" s="37"/>
      <c r="AC57" s="37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37"/>
      <c r="C228" s="38"/>
      <c r="D228" s="39"/>
      <c r="E228" s="39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37"/>
      <c r="C229" s="38"/>
      <c r="D229" s="39"/>
      <c r="E229" s="39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2.75" customHeight="1" spans="1:29">
      <c r="A252" s="37"/>
      <c r="B252" s="43"/>
      <c r="C252" s="58"/>
      <c r="D252" s="59"/>
      <c r="E252" s="59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2.75" customHeight="1" spans="1:29">
      <c r="A253" s="37"/>
      <c r="B253" s="43"/>
      <c r="C253" s="58"/>
      <c r="D253" s="59"/>
      <c r="E253" s="59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7:H57 G11:G56 H2:H3 L11:L57 M2:M3 O11:O5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26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74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COUNTA(B11:B960)-COUNTIF($N11:$N960,"Skip")</f>
        <v>21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COUNTIF($G11:$G960,C5)</f>
        <v>21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COUNTIF($L11:$L960,C5)</f>
        <v>21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COUNTIF($O11:$O960,C5)</f>
        <v>21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198" spans="1:29">
      <c r="A11" s="30" t="s">
        <v>73</v>
      </c>
      <c r="B11" s="30" t="s">
        <v>233</v>
      </c>
      <c r="C11" s="30" t="s">
        <v>1001</v>
      </c>
      <c r="D11" s="31" t="s">
        <v>277</v>
      </c>
      <c r="E11" s="31" t="s">
        <v>1002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4</v>
      </c>
      <c r="L11" s="42" t="s">
        <v>209</v>
      </c>
      <c r="M11" s="40">
        <v>45993</v>
      </c>
      <c r="N11" s="41" t="s">
        <v>4</v>
      </c>
      <c r="O11" s="42" t="s">
        <v>209</v>
      </c>
      <c r="P11" s="40">
        <v>45995</v>
      </c>
      <c r="Q11" s="41" t="s">
        <v>4</v>
      </c>
      <c r="R11" s="4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39.6" spans="1:29">
      <c r="A12" s="30" t="s">
        <v>73</v>
      </c>
      <c r="B12" s="30" t="s">
        <v>238</v>
      </c>
      <c r="C12" s="30" t="s">
        <v>965</v>
      </c>
      <c r="D12" s="31" t="s">
        <v>277</v>
      </c>
      <c r="E12" s="31" t="s">
        <v>342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4</v>
      </c>
      <c r="L12" s="42" t="s">
        <v>209</v>
      </c>
      <c r="M12" s="40">
        <v>45993</v>
      </c>
      <c r="N12" s="41" t="s">
        <v>4</v>
      </c>
      <c r="O12" s="42" t="s">
        <v>209</v>
      </c>
      <c r="P12" s="40">
        <v>45995</v>
      </c>
      <c r="Q12" s="41" t="s">
        <v>4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39.6" spans="1:29">
      <c r="A13" s="30" t="s">
        <v>73</v>
      </c>
      <c r="B13" s="30" t="s">
        <v>242</v>
      </c>
      <c r="C13" s="30" t="s">
        <v>1003</v>
      </c>
      <c r="D13" s="31" t="s">
        <v>917</v>
      </c>
      <c r="E13" s="31" t="s">
        <v>1004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4</v>
      </c>
      <c r="L13" s="42" t="s">
        <v>209</v>
      </c>
      <c r="M13" s="40">
        <v>45993</v>
      </c>
      <c r="N13" s="41" t="s">
        <v>4</v>
      </c>
      <c r="O13" s="42" t="s">
        <v>209</v>
      </c>
      <c r="P13" s="40">
        <v>45995</v>
      </c>
      <c r="Q13" s="41" t="s">
        <v>4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171.6" spans="1:29">
      <c r="A14" s="30" t="s">
        <v>75</v>
      </c>
      <c r="B14" s="30" t="s">
        <v>259</v>
      </c>
      <c r="C14" s="30" t="s">
        <v>1005</v>
      </c>
      <c r="D14" s="31" t="s">
        <v>1006</v>
      </c>
      <c r="E14" s="31" t="s">
        <v>1007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4</v>
      </c>
      <c r="L14" s="42" t="s">
        <v>209</v>
      </c>
      <c r="M14" s="40">
        <v>45993</v>
      </c>
      <c r="N14" s="41" t="s">
        <v>4</v>
      </c>
      <c r="O14" s="42" t="s">
        <v>209</v>
      </c>
      <c r="P14" s="40">
        <v>45995</v>
      </c>
      <c r="Q14" s="41" t="s">
        <v>4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39.6" spans="1:29">
      <c r="A15" s="30" t="s">
        <v>75</v>
      </c>
      <c r="B15" s="30" t="s">
        <v>263</v>
      </c>
      <c r="C15" s="30" t="s">
        <v>1008</v>
      </c>
      <c r="D15" s="31" t="s">
        <v>1006</v>
      </c>
      <c r="E15" s="31" t="s">
        <v>342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4</v>
      </c>
      <c r="L15" s="42" t="s">
        <v>209</v>
      </c>
      <c r="M15" s="40">
        <v>45993</v>
      </c>
      <c r="N15" s="41" t="s">
        <v>4</v>
      </c>
      <c r="O15" s="42" t="s">
        <v>209</v>
      </c>
      <c r="P15" s="40">
        <v>45995</v>
      </c>
      <c r="Q15" s="41" t="s">
        <v>4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39.6" spans="1:29">
      <c r="A16" s="30" t="s">
        <v>75</v>
      </c>
      <c r="B16" s="30" t="s">
        <v>267</v>
      </c>
      <c r="C16" s="30" t="s">
        <v>1009</v>
      </c>
      <c r="D16" s="31" t="s">
        <v>1010</v>
      </c>
      <c r="E16" s="31" t="s">
        <v>1011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4</v>
      </c>
      <c r="L16" s="42" t="s">
        <v>209</v>
      </c>
      <c r="M16" s="40">
        <v>45993</v>
      </c>
      <c r="N16" s="41" t="s">
        <v>4</v>
      </c>
      <c r="O16" s="42" t="s">
        <v>209</v>
      </c>
      <c r="P16" s="40">
        <v>45995</v>
      </c>
      <c r="Q16" s="41" t="s">
        <v>4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79.2" spans="1:29">
      <c r="A17" s="30" t="s">
        <v>76</v>
      </c>
      <c r="B17" s="30" t="s">
        <v>275</v>
      </c>
      <c r="C17" s="30" t="s">
        <v>1012</v>
      </c>
      <c r="D17" s="31" t="s">
        <v>1013</v>
      </c>
      <c r="E17" s="31" t="s">
        <v>1014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4</v>
      </c>
      <c r="L17" s="42" t="s">
        <v>209</v>
      </c>
      <c r="M17" s="40">
        <v>45993</v>
      </c>
      <c r="N17" s="41" t="s">
        <v>4</v>
      </c>
      <c r="O17" s="42" t="s">
        <v>209</v>
      </c>
      <c r="P17" s="40">
        <v>45995</v>
      </c>
      <c r="Q17" s="41" t="s">
        <v>4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52.8" spans="1:29">
      <c r="A18" s="30" t="s">
        <v>76</v>
      </c>
      <c r="B18" s="30" t="s">
        <v>279</v>
      </c>
      <c r="C18" s="30" t="s">
        <v>1015</v>
      </c>
      <c r="D18" s="31" t="s">
        <v>1016</v>
      </c>
      <c r="E18" s="31" t="s">
        <v>1017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4</v>
      </c>
      <c r="L18" s="42" t="s">
        <v>209</v>
      </c>
      <c r="M18" s="40">
        <v>45993</v>
      </c>
      <c r="N18" s="41" t="s">
        <v>4</v>
      </c>
      <c r="O18" s="42" t="s">
        <v>209</v>
      </c>
      <c r="P18" s="40">
        <v>45995</v>
      </c>
      <c r="Q18" s="41" t="s">
        <v>4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52.8" spans="1:29">
      <c r="A19" s="30" t="s">
        <v>76</v>
      </c>
      <c r="B19" s="30" t="s">
        <v>768</v>
      </c>
      <c r="C19" s="30" t="s">
        <v>1018</v>
      </c>
      <c r="D19" s="31" t="s">
        <v>1019</v>
      </c>
      <c r="E19" s="31" t="s">
        <v>1011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4</v>
      </c>
      <c r="L19" s="42" t="s">
        <v>209</v>
      </c>
      <c r="M19" s="40">
        <v>45993</v>
      </c>
      <c r="N19" s="41" t="s">
        <v>4</v>
      </c>
      <c r="O19" s="42" t="s">
        <v>209</v>
      </c>
      <c r="P19" s="40">
        <v>45995</v>
      </c>
      <c r="Q19" s="41" t="s">
        <v>4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52.8" spans="1:29">
      <c r="A20" s="30" t="s">
        <v>76</v>
      </c>
      <c r="B20" s="30" t="s">
        <v>1020</v>
      </c>
      <c r="C20" s="30" t="s">
        <v>1021</v>
      </c>
      <c r="D20" s="31" t="s">
        <v>1022</v>
      </c>
      <c r="E20" s="31" t="s">
        <v>1004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4</v>
      </c>
      <c r="L20" s="42" t="s">
        <v>209</v>
      </c>
      <c r="M20" s="40">
        <v>45993</v>
      </c>
      <c r="N20" s="41" t="s">
        <v>4</v>
      </c>
      <c r="O20" s="42" t="s">
        <v>209</v>
      </c>
      <c r="P20" s="40">
        <v>45995</v>
      </c>
      <c r="Q20" s="41" t="s">
        <v>4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79.2" spans="1:29">
      <c r="A21" s="30" t="s">
        <v>76</v>
      </c>
      <c r="B21" s="30" t="s">
        <v>1023</v>
      </c>
      <c r="C21" s="30" t="s">
        <v>1024</v>
      </c>
      <c r="D21" s="31" t="s">
        <v>1013</v>
      </c>
      <c r="E21" s="31" t="s">
        <v>1025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4</v>
      </c>
      <c r="L21" s="42" t="s">
        <v>209</v>
      </c>
      <c r="M21" s="40">
        <v>45993</v>
      </c>
      <c r="N21" s="41" t="s">
        <v>4</v>
      </c>
      <c r="O21" s="42" t="s">
        <v>209</v>
      </c>
      <c r="P21" s="40">
        <v>45995</v>
      </c>
      <c r="Q21" s="41" t="s">
        <v>4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396" spans="1:29">
      <c r="A22" s="30" t="s">
        <v>77</v>
      </c>
      <c r="B22" s="30" t="s">
        <v>283</v>
      </c>
      <c r="C22" s="30" t="s">
        <v>1026</v>
      </c>
      <c r="D22" s="31" t="s">
        <v>1027</v>
      </c>
      <c r="E22" s="31" t="s">
        <v>1028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4</v>
      </c>
      <c r="L22" s="42" t="s">
        <v>209</v>
      </c>
      <c r="M22" s="40">
        <v>45993</v>
      </c>
      <c r="N22" s="41" t="s">
        <v>4</v>
      </c>
      <c r="O22" s="42" t="s">
        <v>209</v>
      </c>
      <c r="P22" s="40">
        <v>45995</v>
      </c>
      <c r="Q22" s="41" t="s">
        <v>4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39.6" spans="1:29">
      <c r="A23" s="30" t="s">
        <v>77</v>
      </c>
      <c r="B23" s="30" t="s">
        <v>286</v>
      </c>
      <c r="C23" s="30" t="s">
        <v>1029</v>
      </c>
      <c r="D23" s="31" t="s">
        <v>1030</v>
      </c>
      <c r="E23" s="31" t="s">
        <v>342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4</v>
      </c>
      <c r="L23" s="42" t="s">
        <v>209</v>
      </c>
      <c r="M23" s="40">
        <v>45993</v>
      </c>
      <c r="N23" s="41" t="s">
        <v>4</v>
      </c>
      <c r="O23" s="42" t="s">
        <v>209</v>
      </c>
      <c r="P23" s="40">
        <v>45995</v>
      </c>
      <c r="Q23" s="41" t="s">
        <v>4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39.6" spans="1:29">
      <c r="A24" s="30" t="s">
        <v>77</v>
      </c>
      <c r="B24" s="30" t="s">
        <v>290</v>
      </c>
      <c r="C24" s="30" t="s">
        <v>1031</v>
      </c>
      <c r="D24" s="31" t="s">
        <v>1032</v>
      </c>
      <c r="E24" s="31" t="s">
        <v>975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4</v>
      </c>
      <c r="L24" s="42" t="s">
        <v>209</v>
      </c>
      <c r="M24" s="40">
        <v>45993</v>
      </c>
      <c r="N24" s="41" t="s">
        <v>4</v>
      </c>
      <c r="O24" s="42" t="s">
        <v>209</v>
      </c>
      <c r="P24" s="40">
        <v>45995</v>
      </c>
      <c r="Q24" s="41" t="s">
        <v>4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105.6" spans="1:29">
      <c r="A25" s="30" t="s">
        <v>78</v>
      </c>
      <c r="B25" s="30" t="s">
        <v>292</v>
      </c>
      <c r="C25" s="30" t="s">
        <v>1033</v>
      </c>
      <c r="D25" s="31" t="s">
        <v>1034</v>
      </c>
      <c r="E25" s="31" t="s">
        <v>1035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4</v>
      </c>
      <c r="L25" s="42" t="s">
        <v>209</v>
      </c>
      <c r="M25" s="40">
        <v>45993</v>
      </c>
      <c r="N25" s="41" t="s">
        <v>4</v>
      </c>
      <c r="O25" s="42" t="s">
        <v>209</v>
      </c>
      <c r="P25" s="40">
        <v>45995</v>
      </c>
      <c r="Q25" s="41" t="s">
        <v>4</v>
      </c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105.6" outlineLevel="1" spans="1:29">
      <c r="A26" s="30" t="s">
        <v>78</v>
      </c>
      <c r="B26" s="30" t="s">
        <v>295</v>
      </c>
      <c r="C26" s="30" t="s">
        <v>1036</v>
      </c>
      <c r="D26" s="31" t="s">
        <v>1037</v>
      </c>
      <c r="E26" s="31" t="s">
        <v>987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4</v>
      </c>
      <c r="L26" s="42" t="s">
        <v>209</v>
      </c>
      <c r="M26" s="40">
        <v>45993</v>
      </c>
      <c r="N26" s="41" t="s">
        <v>4</v>
      </c>
      <c r="O26" s="42" t="s">
        <v>209</v>
      </c>
      <c r="P26" s="40">
        <v>45995</v>
      </c>
      <c r="Q26" s="41" t="s">
        <v>4</v>
      </c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105.6" outlineLevel="1" spans="1:29">
      <c r="A27" s="30" t="s">
        <v>78</v>
      </c>
      <c r="B27" s="30" t="s">
        <v>297</v>
      </c>
      <c r="C27" s="30" t="s">
        <v>1038</v>
      </c>
      <c r="D27" s="31" t="s">
        <v>1039</v>
      </c>
      <c r="E27" s="31" t="s">
        <v>987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4</v>
      </c>
      <c r="L27" s="42" t="s">
        <v>209</v>
      </c>
      <c r="M27" s="40">
        <v>45993</v>
      </c>
      <c r="N27" s="41" t="s">
        <v>4</v>
      </c>
      <c r="O27" s="42" t="s">
        <v>209</v>
      </c>
      <c r="P27" s="40">
        <v>45995</v>
      </c>
      <c r="Q27" s="41" t="s">
        <v>4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105.6" outlineLevel="1" spans="1:29">
      <c r="A28" s="30" t="s">
        <v>78</v>
      </c>
      <c r="B28" s="30" t="s">
        <v>1040</v>
      </c>
      <c r="C28" s="30" t="s">
        <v>1041</v>
      </c>
      <c r="D28" s="31" t="s">
        <v>1042</v>
      </c>
      <c r="E28" s="31" t="s">
        <v>993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4</v>
      </c>
      <c r="L28" s="42" t="s">
        <v>209</v>
      </c>
      <c r="M28" s="40">
        <v>45993</v>
      </c>
      <c r="N28" s="41" t="s">
        <v>4</v>
      </c>
      <c r="O28" s="42" t="s">
        <v>209</v>
      </c>
      <c r="P28" s="40">
        <v>45995</v>
      </c>
      <c r="Q28" s="41" t="s">
        <v>4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105.6" outlineLevel="1" spans="1:29">
      <c r="A29" s="30" t="s">
        <v>78</v>
      </c>
      <c r="B29" s="30" t="s">
        <v>1043</v>
      </c>
      <c r="C29" s="30" t="s">
        <v>1044</v>
      </c>
      <c r="D29" s="31" t="s">
        <v>1045</v>
      </c>
      <c r="E29" s="31" t="s">
        <v>1000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4</v>
      </c>
      <c r="L29" s="42" t="s">
        <v>209</v>
      </c>
      <c r="M29" s="40">
        <v>45993</v>
      </c>
      <c r="N29" s="41" t="s">
        <v>4</v>
      </c>
      <c r="O29" s="42" t="s">
        <v>209</v>
      </c>
      <c r="P29" s="40">
        <v>45995</v>
      </c>
      <c r="Q29" s="41" t="s">
        <v>4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105.6" outlineLevel="1" spans="1:29">
      <c r="A30" s="30" t="s">
        <v>78</v>
      </c>
      <c r="B30" s="30" t="s">
        <v>1046</v>
      </c>
      <c r="C30" s="30" t="s">
        <v>1047</v>
      </c>
      <c r="D30" s="31" t="s">
        <v>1048</v>
      </c>
      <c r="E30" s="31" t="s">
        <v>1049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4</v>
      </c>
      <c r="L30" s="42" t="s">
        <v>209</v>
      </c>
      <c r="M30" s="40">
        <v>45993</v>
      </c>
      <c r="N30" s="41" t="s">
        <v>4</v>
      </c>
      <c r="O30" s="42" t="s">
        <v>209</v>
      </c>
      <c r="P30" s="40">
        <v>45995</v>
      </c>
      <c r="Q30" s="41" t="s">
        <v>4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105.6" outlineLevel="1" spans="1:29">
      <c r="A31" s="30" t="s">
        <v>78</v>
      </c>
      <c r="B31" s="30" t="s">
        <v>1050</v>
      </c>
      <c r="C31" s="30" t="s">
        <v>1051</v>
      </c>
      <c r="D31" s="31" t="s">
        <v>1052</v>
      </c>
      <c r="E31" s="31" t="s">
        <v>1053</v>
      </c>
      <c r="F31" s="30" t="s">
        <v>237</v>
      </c>
      <c r="G31" s="32" t="s">
        <v>209</v>
      </c>
      <c r="H31" s="33"/>
      <c r="I31" s="33"/>
      <c r="J31" s="40">
        <v>45991</v>
      </c>
      <c r="K31" s="41" t="s">
        <v>4</v>
      </c>
      <c r="L31" s="42" t="s">
        <v>209</v>
      </c>
      <c r="M31" s="40">
        <v>45993</v>
      </c>
      <c r="N31" s="41" t="s">
        <v>4</v>
      </c>
      <c r="O31" s="42" t="s">
        <v>209</v>
      </c>
      <c r="P31" s="40">
        <v>45995</v>
      </c>
      <c r="Q31" s="41" t="s">
        <v>4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13.8" outlineLevel="1" spans="1:29">
      <c r="A32" s="30"/>
      <c r="B32" s="30"/>
      <c r="C32" s="30"/>
      <c r="D32" s="31"/>
      <c r="E32" s="31"/>
      <c r="F32" s="30"/>
      <c r="G32" s="32"/>
      <c r="H32" s="33"/>
      <c r="I32" s="33"/>
      <c r="J32" s="40"/>
      <c r="K32" s="41"/>
      <c r="L32" s="42"/>
      <c r="M32" s="40"/>
      <c r="N32" s="41"/>
      <c r="O32" s="42"/>
      <c r="P32" s="40"/>
      <c r="Q32" s="41"/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3.8" outlineLevel="1" spans="1:29">
      <c r="A33" s="30"/>
      <c r="B33" s="30"/>
      <c r="C33" s="30"/>
      <c r="D33" s="31"/>
      <c r="E33" s="31"/>
      <c r="F33" s="30"/>
      <c r="G33" s="32"/>
      <c r="H33" s="33"/>
      <c r="I33" s="33"/>
      <c r="J33" s="40"/>
      <c r="K33" s="41"/>
      <c r="L33" s="42"/>
      <c r="M33" s="40"/>
      <c r="N33" s="41"/>
      <c r="O33" s="42"/>
      <c r="P33" s="40"/>
      <c r="Q33" s="41"/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3.8" outlineLevel="1" spans="1:29">
      <c r="A34" s="30"/>
      <c r="B34" s="30"/>
      <c r="C34" s="30"/>
      <c r="D34" s="31"/>
      <c r="E34" s="31"/>
      <c r="F34" s="30"/>
      <c r="G34" s="32"/>
      <c r="H34" s="33"/>
      <c r="I34" s="33"/>
      <c r="J34" s="40"/>
      <c r="K34" s="41"/>
      <c r="L34" s="42"/>
      <c r="M34" s="40"/>
      <c r="N34" s="41"/>
      <c r="O34" s="42"/>
      <c r="P34" s="40"/>
      <c r="Q34" s="41"/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3.8" outlineLevel="1" spans="1:29">
      <c r="A35" s="30"/>
      <c r="B35" s="30"/>
      <c r="C35" s="30"/>
      <c r="D35" s="31"/>
      <c r="E35" s="31"/>
      <c r="F35" s="30"/>
      <c r="G35" s="32"/>
      <c r="H35" s="33"/>
      <c r="I35" s="33"/>
      <c r="J35" s="40"/>
      <c r="K35" s="41"/>
      <c r="L35" s="42"/>
      <c r="M35" s="40"/>
      <c r="N35" s="41"/>
      <c r="O35" s="42"/>
      <c r="P35" s="40"/>
      <c r="Q35" s="41"/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3.8" outlineLevel="1" spans="1:29">
      <c r="A36" s="30"/>
      <c r="B36" s="30"/>
      <c r="C36" s="30"/>
      <c r="D36" s="31"/>
      <c r="E36" s="31"/>
      <c r="F36" s="30"/>
      <c r="G36" s="32"/>
      <c r="H36" s="33"/>
      <c r="I36" s="33"/>
      <c r="J36" s="40"/>
      <c r="K36" s="41"/>
      <c r="L36" s="42"/>
      <c r="M36" s="40"/>
      <c r="N36" s="41"/>
      <c r="O36" s="42"/>
      <c r="P36" s="40"/>
      <c r="Q36" s="41"/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3.8" outlineLevel="1" spans="1:29">
      <c r="A37" s="30"/>
      <c r="B37" s="30"/>
      <c r="C37" s="30"/>
      <c r="D37" s="31"/>
      <c r="E37" s="31"/>
      <c r="F37" s="30"/>
      <c r="G37" s="32"/>
      <c r="H37" s="33"/>
      <c r="I37" s="33"/>
      <c r="J37" s="40"/>
      <c r="K37" s="41"/>
      <c r="L37" s="42"/>
      <c r="M37" s="40"/>
      <c r="N37" s="41"/>
      <c r="O37" s="42"/>
      <c r="P37" s="40"/>
      <c r="Q37" s="41"/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8" outlineLevel="1" spans="1:29">
      <c r="A38" s="30"/>
      <c r="B38" s="30"/>
      <c r="C38" s="30"/>
      <c r="D38" s="31"/>
      <c r="E38" s="31"/>
      <c r="F38" s="30"/>
      <c r="G38" s="32"/>
      <c r="H38" s="33"/>
      <c r="I38" s="33"/>
      <c r="J38" s="42"/>
      <c r="K38" s="41"/>
      <c r="L38" s="42"/>
      <c r="M38" s="42"/>
      <c r="N38" s="41"/>
      <c r="O38" s="42"/>
      <c r="P38" s="42"/>
      <c r="Q38" s="41"/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8" outlineLevel="1" spans="1:29">
      <c r="A39" s="30"/>
      <c r="B39" s="30"/>
      <c r="C39" s="30"/>
      <c r="D39" s="31"/>
      <c r="E39" s="31"/>
      <c r="F39" s="30"/>
      <c r="G39" s="32"/>
      <c r="H39" s="33"/>
      <c r="I39" s="33"/>
      <c r="J39" s="42"/>
      <c r="K39" s="41"/>
      <c r="L39" s="42"/>
      <c r="M39" s="42"/>
      <c r="N39" s="41"/>
      <c r="O39" s="42"/>
      <c r="P39" s="42"/>
      <c r="Q39" s="41"/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8" outlineLevel="1" spans="1:29">
      <c r="A40" s="30"/>
      <c r="B40" s="30"/>
      <c r="C40" s="30"/>
      <c r="D40" s="31"/>
      <c r="E40" s="31"/>
      <c r="F40" s="30"/>
      <c r="G40" s="32"/>
      <c r="H40" s="33"/>
      <c r="I40" s="33"/>
      <c r="J40" s="42"/>
      <c r="K40" s="41"/>
      <c r="L40" s="42"/>
      <c r="M40" s="42"/>
      <c r="N40" s="41"/>
      <c r="O40" s="42"/>
      <c r="P40" s="42"/>
      <c r="Q40" s="41"/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8" outlineLevel="1" spans="1:29">
      <c r="A41" s="30"/>
      <c r="B41" s="30"/>
      <c r="C41" s="30"/>
      <c r="D41" s="31"/>
      <c r="E41" s="31"/>
      <c r="F41" s="30"/>
      <c r="G41" s="32"/>
      <c r="H41" s="33"/>
      <c r="I41" s="33"/>
      <c r="J41" s="42"/>
      <c r="K41" s="41"/>
      <c r="L41" s="42"/>
      <c r="M41" s="42"/>
      <c r="N41" s="41"/>
      <c r="O41" s="42"/>
      <c r="P41" s="42"/>
      <c r="Q41" s="41"/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8" outlineLevel="1" spans="1:29">
      <c r="A42" s="30"/>
      <c r="B42" s="30"/>
      <c r="C42" s="30"/>
      <c r="D42" s="31"/>
      <c r="E42" s="31"/>
      <c r="F42" s="30"/>
      <c r="G42" s="32"/>
      <c r="H42" s="33"/>
      <c r="I42" s="33"/>
      <c r="J42" s="42"/>
      <c r="K42" s="41"/>
      <c r="L42" s="42"/>
      <c r="M42" s="42"/>
      <c r="N42" s="41"/>
      <c r="O42" s="42"/>
      <c r="P42" s="42"/>
      <c r="Q42" s="41"/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8" outlineLevel="1" spans="1:29">
      <c r="A43" s="30"/>
      <c r="B43" s="30"/>
      <c r="C43" s="30"/>
      <c r="D43" s="31"/>
      <c r="E43" s="31"/>
      <c r="F43" s="30"/>
      <c r="G43" s="32"/>
      <c r="H43" s="33"/>
      <c r="I43" s="33"/>
      <c r="J43" s="42"/>
      <c r="K43" s="41"/>
      <c r="L43" s="42"/>
      <c r="M43" s="42"/>
      <c r="N43" s="41"/>
      <c r="O43" s="42"/>
      <c r="P43" s="42"/>
      <c r="Q43" s="41"/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8" outlineLevel="1" spans="1:29">
      <c r="A44" s="30"/>
      <c r="B44" s="30"/>
      <c r="C44" s="30"/>
      <c r="D44" s="31"/>
      <c r="E44" s="31"/>
      <c r="F44" s="30"/>
      <c r="G44" s="32"/>
      <c r="H44" s="33"/>
      <c r="I44" s="33"/>
      <c r="J44" s="42"/>
      <c r="K44" s="41"/>
      <c r="L44" s="42"/>
      <c r="M44" s="42"/>
      <c r="N44" s="41"/>
      <c r="O44" s="42"/>
      <c r="P44" s="42"/>
      <c r="Q44" s="41"/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8" outlineLevel="1" spans="1:29">
      <c r="A45" s="30"/>
      <c r="B45" s="30"/>
      <c r="C45" s="30"/>
      <c r="D45" s="31"/>
      <c r="E45" s="31"/>
      <c r="F45" s="30"/>
      <c r="G45" s="32"/>
      <c r="H45" s="33"/>
      <c r="I45" s="33"/>
      <c r="J45" s="42"/>
      <c r="K45" s="41"/>
      <c r="L45" s="42"/>
      <c r="M45" s="42"/>
      <c r="N45" s="41"/>
      <c r="O45" s="42"/>
      <c r="P45" s="42"/>
      <c r="Q45" s="41"/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8" outlineLevel="1" spans="1:29">
      <c r="A46" s="30"/>
      <c r="B46" s="30"/>
      <c r="C46" s="30"/>
      <c r="D46" s="31"/>
      <c r="E46" s="31"/>
      <c r="F46" s="30"/>
      <c r="G46" s="32"/>
      <c r="H46" s="33"/>
      <c r="I46" s="33"/>
      <c r="J46" s="42"/>
      <c r="K46" s="41"/>
      <c r="L46" s="42"/>
      <c r="M46" s="42"/>
      <c r="N46" s="41"/>
      <c r="O46" s="42"/>
      <c r="P46" s="42"/>
      <c r="Q46" s="41"/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8" outlineLevel="1" spans="1:29">
      <c r="A47" s="30"/>
      <c r="B47" s="30"/>
      <c r="C47" s="30"/>
      <c r="D47" s="31"/>
      <c r="E47" s="31"/>
      <c r="F47" s="30"/>
      <c r="G47" s="32"/>
      <c r="H47" s="33"/>
      <c r="I47" s="33"/>
      <c r="J47" s="42"/>
      <c r="K47" s="41"/>
      <c r="L47" s="42"/>
      <c r="M47" s="42"/>
      <c r="N47" s="41"/>
      <c r="O47" s="42"/>
      <c r="P47" s="42"/>
      <c r="Q47" s="41"/>
      <c r="R47" s="30"/>
      <c r="S47" s="43"/>
      <c r="T47" s="53"/>
      <c r="U47" s="43"/>
      <c r="V47" s="43"/>
      <c r="W47" s="43"/>
      <c r="X47" s="43"/>
      <c r="Y47" s="43"/>
      <c r="Z47" s="43"/>
      <c r="AA47" s="43"/>
      <c r="AB47" s="43"/>
      <c r="AC47" s="43"/>
    </row>
    <row r="48" ht="13.8" outlineLevel="1" spans="1:29">
      <c r="A48" s="30"/>
      <c r="B48" s="30"/>
      <c r="C48" s="30"/>
      <c r="D48" s="31"/>
      <c r="E48" s="31"/>
      <c r="F48" s="30"/>
      <c r="G48" s="32"/>
      <c r="H48" s="33"/>
      <c r="I48" s="33"/>
      <c r="J48" s="42"/>
      <c r="K48" s="41"/>
      <c r="L48" s="42"/>
      <c r="M48" s="42"/>
      <c r="N48" s="41"/>
      <c r="O48" s="42"/>
      <c r="P48" s="42"/>
      <c r="Q48" s="41"/>
      <c r="R48" s="30"/>
      <c r="S48" s="43"/>
      <c r="T48" s="53"/>
      <c r="U48" s="43"/>
      <c r="V48" s="43"/>
      <c r="W48" s="43"/>
      <c r="X48" s="43"/>
      <c r="Y48" s="43"/>
      <c r="Z48" s="43"/>
      <c r="AA48" s="43"/>
      <c r="AB48" s="43"/>
      <c r="AC48" s="43"/>
    </row>
    <row r="49" ht="13.8" spans="1:29">
      <c r="A49" s="30"/>
      <c r="B49" s="30"/>
      <c r="C49" s="30"/>
      <c r="D49" s="31"/>
      <c r="E49" s="31"/>
      <c r="F49" s="30"/>
      <c r="G49" s="32"/>
      <c r="H49" s="33"/>
      <c r="I49" s="33"/>
      <c r="J49" s="42"/>
      <c r="K49" s="41"/>
      <c r="L49" s="42"/>
      <c r="M49" s="42"/>
      <c r="N49" s="41"/>
      <c r="O49" s="42"/>
      <c r="P49" s="42"/>
      <c r="Q49" s="41"/>
      <c r="R49" s="30"/>
      <c r="S49" s="47"/>
      <c r="T49" s="51"/>
      <c r="U49" s="47"/>
      <c r="V49" s="47"/>
      <c r="W49" s="47"/>
      <c r="X49" s="47"/>
      <c r="Y49" s="47"/>
      <c r="Z49" s="47"/>
      <c r="AA49" s="47"/>
      <c r="AB49" s="47"/>
      <c r="AC49" s="47"/>
    </row>
    <row r="50" ht="13.8" spans="1:29">
      <c r="A50" s="30"/>
      <c r="B50" s="30"/>
      <c r="C50" s="30"/>
      <c r="D50" s="31"/>
      <c r="E50" s="31"/>
      <c r="F50" s="30"/>
      <c r="G50" s="32"/>
      <c r="H50" s="33"/>
      <c r="I50" s="33"/>
      <c r="J50" s="42"/>
      <c r="K50" s="41"/>
      <c r="L50" s="42"/>
      <c r="M50" s="42"/>
      <c r="N50" s="41"/>
      <c r="O50" s="42"/>
      <c r="P50" s="42"/>
      <c r="Q50" s="41"/>
      <c r="R50" s="30"/>
      <c r="S50" s="54"/>
      <c r="T50" s="55"/>
      <c r="U50" s="54"/>
      <c r="V50" s="54"/>
      <c r="W50" s="54"/>
      <c r="X50" s="54"/>
      <c r="Y50" s="54"/>
      <c r="Z50" s="54"/>
      <c r="AA50" s="54"/>
      <c r="AB50" s="54"/>
      <c r="AC50" s="54"/>
    </row>
    <row r="51" ht="13.8" spans="1:29">
      <c r="A51" s="30"/>
      <c r="B51" s="30"/>
      <c r="C51" s="30"/>
      <c r="D51" s="31"/>
      <c r="E51" s="31"/>
      <c r="F51" s="30"/>
      <c r="G51" s="32"/>
      <c r="H51" s="33"/>
      <c r="I51" s="33"/>
      <c r="J51" s="42"/>
      <c r="K51" s="41"/>
      <c r="L51" s="42"/>
      <c r="M51" s="42"/>
      <c r="N51" s="41"/>
      <c r="O51" s="42"/>
      <c r="P51" s="42"/>
      <c r="Q51" s="41"/>
      <c r="R51" s="30"/>
      <c r="S51" s="54"/>
      <c r="T51" s="55"/>
      <c r="U51" s="54"/>
      <c r="V51" s="54"/>
      <c r="W51" s="54"/>
      <c r="X51" s="54"/>
      <c r="Y51" s="54"/>
      <c r="Z51" s="54"/>
      <c r="AA51" s="54"/>
      <c r="AB51" s="54"/>
      <c r="AC51" s="54"/>
    </row>
    <row r="52" ht="13.8" outlineLevel="1" spans="1:29">
      <c r="A52" s="30"/>
      <c r="B52" s="30"/>
      <c r="C52" s="30"/>
      <c r="D52" s="31"/>
      <c r="E52" s="31"/>
      <c r="F52" s="30"/>
      <c r="G52" s="32"/>
      <c r="H52" s="33"/>
      <c r="I52" s="33"/>
      <c r="J52" s="42"/>
      <c r="K52" s="41"/>
      <c r="L52" s="42"/>
      <c r="M52" s="42"/>
      <c r="N52" s="41"/>
      <c r="O52" s="42"/>
      <c r="P52" s="42"/>
      <c r="Q52" s="41"/>
      <c r="R52" s="30"/>
      <c r="S52" s="37"/>
      <c r="T52" s="56"/>
      <c r="U52" s="37"/>
      <c r="V52" s="37"/>
      <c r="W52" s="37"/>
      <c r="X52" s="37"/>
      <c r="Y52" s="37"/>
      <c r="Z52" s="37"/>
      <c r="AA52" s="37"/>
      <c r="AB52" s="37"/>
      <c r="AC52" s="37"/>
    </row>
    <row r="53" ht="13.8" outlineLevel="1" spans="1:29">
      <c r="A53" s="30"/>
      <c r="B53" s="30"/>
      <c r="C53" s="30"/>
      <c r="D53" s="31"/>
      <c r="E53" s="31"/>
      <c r="F53" s="30"/>
      <c r="G53" s="32"/>
      <c r="H53" s="33"/>
      <c r="I53" s="33"/>
      <c r="J53" s="42"/>
      <c r="K53" s="41"/>
      <c r="L53" s="42"/>
      <c r="M53" s="42"/>
      <c r="N53" s="41"/>
      <c r="O53" s="42"/>
      <c r="P53" s="42"/>
      <c r="Q53" s="41"/>
      <c r="R53" s="30"/>
      <c r="S53" s="37"/>
      <c r="T53" s="56"/>
      <c r="U53" s="37"/>
      <c r="V53" s="37"/>
      <c r="W53" s="37"/>
      <c r="X53" s="37"/>
      <c r="Y53" s="37"/>
      <c r="Z53" s="37"/>
      <c r="AA53" s="37"/>
      <c r="AB53" s="37"/>
      <c r="AC53" s="37"/>
    </row>
    <row r="54" ht="64.5" customHeight="1" outlineLevel="1" spans="1:29">
      <c r="A54" s="62"/>
      <c r="B54" s="62"/>
      <c r="C54" s="62"/>
      <c r="D54" s="63"/>
      <c r="E54" s="63"/>
      <c r="F54" s="62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62"/>
      <c r="S54" s="37"/>
      <c r="T54" s="57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62"/>
      <c r="B55" s="62"/>
      <c r="C55" s="62"/>
      <c r="D55" s="63"/>
      <c r="E55" s="63"/>
      <c r="F55" s="62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67"/>
      <c r="S55" s="54"/>
      <c r="T55" s="55"/>
      <c r="U55" s="54"/>
      <c r="V55" s="54"/>
      <c r="W55" s="54"/>
      <c r="X55" s="54"/>
      <c r="Y55" s="54"/>
      <c r="Z55" s="54"/>
      <c r="AA55" s="54"/>
      <c r="AB55" s="54"/>
      <c r="AC55" s="54"/>
    </row>
    <row r="56" ht="64.5" customHeight="1" outlineLevel="1" spans="1:29">
      <c r="A56" s="62"/>
      <c r="B56" s="62"/>
      <c r="C56" s="62"/>
      <c r="D56" s="63"/>
      <c r="E56" s="63"/>
      <c r="F56" s="62"/>
      <c r="G56" s="1"/>
      <c r="H56" s="64"/>
      <c r="I56" s="64"/>
      <c r="J56" s="1"/>
      <c r="K56" s="1"/>
      <c r="L56" s="1"/>
      <c r="M56" s="1"/>
      <c r="N56" s="1"/>
      <c r="O56" s="1"/>
      <c r="P56" s="1"/>
      <c r="Q56" s="1"/>
      <c r="R56" s="67"/>
      <c r="S56" s="37"/>
      <c r="T56" s="56"/>
      <c r="U56" s="37"/>
      <c r="V56" s="37"/>
      <c r="W56" s="37"/>
      <c r="X56" s="37"/>
      <c r="Y56" s="37"/>
      <c r="Z56" s="37"/>
      <c r="AA56" s="37"/>
      <c r="AB56" s="37"/>
      <c r="AC56" s="37"/>
    </row>
    <row r="57" ht="64.5" customHeight="1" spans="1:29">
      <c r="A57" s="62"/>
      <c r="B57" s="62"/>
      <c r="C57" s="62"/>
      <c r="D57" s="65"/>
      <c r="E57" s="65"/>
      <c r="F57" s="66"/>
      <c r="G57" s="1"/>
      <c r="H57" s="64"/>
      <c r="I57" s="64"/>
      <c r="J57" s="1"/>
      <c r="K57" s="1"/>
      <c r="L57" s="1"/>
      <c r="M57" s="1"/>
      <c r="N57" s="1"/>
      <c r="O57" s="1"/>
      <c r="P57" s="1"/>
      <c r="Q57" s="1"/>
      <c r="R57" s="66"/>
      <c r="S57" s="37"/>
      <c r="T57" s="57"/>
      <c r="U57" s="37"/>
      <c r="V57" s="37"/>
      <c r="W57" s="37"/>
      <c r="X57" s="37"/>
      <c r="Y57" s="37"/>
      <c r="Z57" s="37"/>
      <c r="AA57" s="37"/>
      <c r="AB57" s="37"/>
      <c r="AC57" s="37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37"/>
      <c r="C228" s="38"/>
      <c r="D228" s="39"/>
      <c r="E228" s="39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37"/>
      <c r="C229" s="38"/>
      <c r="D229" s="39"/>
      <c r="E229" s="39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2.75" customHeight="1" spans="1:29">
      <c r="A252" s="37"/>
      <c r="B252" s="43"/>
      <c r="C252" s="58"/>
      <c r="D252" s="59"/>
      <c r="E252" s="59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2.75" customHeight="1" spans="1:29">
      <c r="A253" s="37"/>
      <c r="B253" s="43"/>
      <c r="C253" s="58"/>
      <c r="D253" s="59"/>
      <c r="E253" s="59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7:H57 G11:G56 H2:H3 L11:L57 M2:M3 O11:O5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26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66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COUNTA(B11:B960)-COUNTIF($N11:$N960,"Skip")</f>
        <v>29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COUNTIF($G11:$G960,C5)</f>
        <v>29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COUNTIF($L11:$L960,C5)</f>
        <v>29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COUNTIF($O11:$O960,C5)</f>
        <v>29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118.8" spans="1:29">
      <c r="A11" s="30" t="s">
        <v>65</v>
      </c>
      <c r="B11" s="30" t="s">
        <v>300</v>
      </c>
      <c r="C11" s="30" t="s">
        <v>1054</v>
      </c>
      <c r="D11" s="31" t="s">
        <v>277</v>
      </c>
      <c r="E11" s="31" t="s">
        <v>1055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4</v>
      </c>
      <c r="L11" s="42" t="s">
        <v>209</v>
      </c>
      <c r="M11" s="40">
        <v>45993</v>
      </c>
      <c r="N11" s="41" t="s">
        <v>4</v>
      </c>
      <c r="O11" s="42" t="s">
        <v>209</v>
      </c>
      <c r="P11" s="40">
        <v>45995</v>
      </c>
      <c r="Q11" s="41" t="s">
        <v>4</v>
      </c>
      <c r="R11" s="4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118.8" spans="1:29">
      <c r="A12" s="30" t="s">
        <v>65</v>
      </c>
      <c r="B12" s="30" t="s">
        <v>307</v>
      </c>
      <c r="C12" s="30" t="s">
        <v>1056</v>
      </c>
      <c r="D12" s="31" t="s">
        <v>288</v>
      </c>
      <c r="E12" s="31" t="s">
        <v>1057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4</v>
      </c>
      <c r="L12" s="42" t="s">
        <v>209</v>
      </c>
      <c r="M12" s="40">
        <v>45993</v>
      </c>
      <c r="N12" s="41" t="s">
        <v>4</v>
      </c>
      <c r="O12" s="42" t="s">
        <v>209</v>
      </c>
      <c r="P12" s="40">
        <v>45995</v>
      </c>
      <c r="Q12" s="41" t="s">
        <v>4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52.8" spans="1:29">
      <c r="A13" s="30" t="s">
        <v>65</v>
      </c>
      <c r="B13" s="30" t="s">
        <v>311</v>
      </c>
      <c r="C13" s="30" t="s">
        <v>1058</v>
      </c>
      <c r="D13" s="31" t="s">
        <v>254</v>
      </c>
      <c r="E13" s="31" t="s">
        <v>1059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4</v>
      </c>
      <c r="L13" s="42" t="s">
        <v>209</v>
      </c>
      <c r="M13" s="40">
        <v>45993</v>
      </c>
      <c r="N13" s="41" t="s">
        <v>4</v>
      </c>
      <c r="O13" s="42" t="s">
        <v>209</v>
      </c>
      <c r="P13" s="40">
        <v>45995</v>
      </c>
      <c r="Q13" s="41" t="s">
        <v>4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277.2" spans="1:29">
      <c r="A14" s="30" t="s">
        <v>67</v>
      </c>
      <c r="B14" s="30" t="s">
        <v>324</v>
      </c>
      <c r="C14" s="30" t="s">
        <v>1060</v>
      </c>
      <c r="D14" s="31" t="s">
        <v>277</v>
      </c>
      <c r="E14" s="31" t="s">
        <v>1061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4</v>
      </c>
      <c r="L14" s="42" t="s">
        <v>209</v>
      </c>
      <c r="M14" s="40">
        <v>45993</v>
      </c>
      <c r="N14" s="41" t="s">
        <v>4</v>
      </c>
      <c r="O14" s="42" t="s">
        <v>209</v>
      </c>
      <c r="P14" s="40">
        <v>45995</v>
      </c>
      <c r="Q14" s="41" t="s">
        <v>4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52.8" spans="1:29">
      <c r="A15" s="30" t="s">
        <v>67</v>
      </c>
      <c r="B15" s="30" t="s">
        <v>328</v>
      </c>
      <c r="C15" s="30" t="s">
        <v>1062</v>
      </c>
      <c r="D15" s="31" t="s">
        <v>277</v>
      </c>
      <c r="E15" s="31" t="s">
        <v>282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4</v>
      </c>
      <c r="L15" s="42" t="s">
        <v>209</v>
      </c>
      <c r="M15" s="40">
        <v>45993</v>
      </c>
      <c r="N15" s="41" t="s">
        <v>4</v>
      </c>
      <c r="O15" s="42" t="s">
        <v>209</v>
      </c>
      <c r="P15" s="40">
        <v>45995</v>
      </c>
      <c r="Q15" s="41" t="s">
        <v>4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52.8" spans="1:29">
      <c r="A16" s="30" t="s">
        <v>67</v>
      </c>
      <c r="B16" s="30" t="s">
        <v>332</v>
      </c>
      <c r="C16" s="30" t="s">
        <v>1063</v>
      </c>
      <c r="D16" s="31" t="s">
        <v>917</v>
      </c>
      <c r="E16" s="31" t="s">
        <v>1064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4</v>
      </c>
      <c r="L16" s="42" t="s">
        <v>209</v>
      </c>
      <c r="M16" s="40">
        <v>45993</v>
      </c>
      <c r="N16" s="41" t="s">
        <v>4</v>
      </c>
      <c r="O16" s="42" t="s">
        <v>209</v>
      </c>
      <c r="P16" s="40">
        <v>45995</v>
      </c>
      <c r="Q16" s="41" t="s">
        <v>4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52.8" spans="1:29">
      <c r="A17" s="30" t="s">
        <v>67</v>
      </c>
      <c r="B17" s="30" t="s">
        <v>804</v>
      </c>
      <c r="C17" s="30" t="s">
        <v>1065</v>
      </c>
      <c r="D17" s="31" t="s">
        <v>277</v>
      </c>
      <c r="E17" s="31" t="s">
        <v>1059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4</v>
      </c>
      <c r="L17" s="42" t="s">
        <v>209</v>
      </c>
      <c r="M17" s="40">
        <v>45993</v>
      </c>
      <c r="N17" s="41" t="s">
        <v>4</v>
      </c>
      <c r="O17" s="42" t="s">
        <v>209</v>
      </c>
      <c r="P17" s="40">
        <v>45995</v>
      </c>
      <c r="Q17" s="41" t="s">
        <v>4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118.8" spans="1:29">
      <c r="A18" s="30" t="s">
        <v>68</v>
      </c>
      <c r="B18" s="30" t="s">
        <v>335</v>
      </c>
      <c r="C18" s="30" t="s">
        <v>1066</v>
      </c>
      <c r="D18" s="31" t="s">
        <v>1067</v>
      </c>
      <c r="E18" s="31" t="s">
        <v>1068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4</v>
      </c>
      <c r="L18" s="42" t="s">
        <v>209</v>
      </c>
      <c r="M18" s="40">
        <v>45993</v>
      </c>
      <c r="N18" s="41" t="s">
        <v>4</v>
      </c>
      <c r="O18" s="42" t="s">
        <v>209</v>
      </c>
      <c r="P18" s="40">
        <v>45995</v>
      </c>
      <c r="Q18" s="41" t="s">
        <v>4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118.8" spans="1:29">
      <c r="A19" s="30" t="s">
        <v>68</v>
      </c>
      <c r="B19" s="30" t="s">
        <v>339</v>
      </c>
      <c r="C19" s="30" t="s">
        <v>1069</v>
      </c>
      <c r="D19" s="31" t="s">
        <v>1070</v>
      </c>
      <c r="E19" s="31" t="s">
        <v>1071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4</v>
      </c>
      <c r="L19" s="42" t="s">
        <v>209</v>
      </c>
      <c r="M19" s="40">
        <v>45993</v>
      </c>
      <c r="N19" s="41" t="s">
        <v>4</v>
      </c>
      <c r="O19" s="42" t="s">
        <v>209</v>
      </c>
      <c r="P19" s="40">
        <v>45995</v>
      </c>
      <c r="Q19" s="41" t="s">
        <v>4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52.8" spans="1:29">
      <c r="A20" s="30" t="s">
        <v>68</v>
      </c>
      <c r="B20" s="30" t="s">
        <v>343</v>
      </c>
      <c r="C20" s="30" t="s">
        <v>1072</v>
      </c>
      <c r="D20" s="31" t="s">
        <v>1073</v>
      </c>
      <c r="E20" s="31" t="s">
        <v>1064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4</v>
      </c>
      <c r="L20" s="42" t="s">
        <v>209</v>
      </c>
      <c r="M20" s="40">
        <v>45993</v>
      </c>
      <c r="N20" s="41" t="s">
        <v>4</v>
      </c>
      <c r="O20" s="42" t="s">
        <v>209</v>
      </c>
      <c r="P20" s="40">
        <v>45995</v>
      </c>
      <c r="Q20" s="41" t="s">
        <v>4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52.8" spans="1:29">
      <c r="A21" s="30" t="s">
        <v>68</v>
      </c>
      <c r="B21" s="30" t="s">
        <v>1074</v>
      </c>
      <c r="C21" s="30" t="s">
        <v>1075</v>
      </c>
      <c r="D21" s="31" t="s">
        <v>1076</v>
      </c>
      <c r="E21" s="31" t="s">
        <v>1059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4</v>
      </c>
      <c r="L21" s="42" t="s">
        <v>209</v>
      </c>
      <c r="M21" s="40">
        <v>45993</v>
      </c>
      <c r="N21" s="41" t="s">
        <v>4</v>
      </c>
      <c r="O21" s="42" t="s">
        <v>209</v>
      </c>
      <c r="P21" s="40">
        <v>45995</v>
      </c>
      <c r="Q21" s="41" t="s">
        <v>4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52.8" spans="1:29">
      <c r="A22" s="30" t="s">
        <v>69</v>
      </c>
      <c r="B22" s="30" t="s">
        <v>346</v>
      </c>
      <c r="C22" s="30" t="s">
        <v>1077</v>
      </c>
      <c r="D22" s="31" t="s">
        <v>1078</v>
      </c>
      <c r="E22" s="31" t="s">
        <v>1079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4</v>
      </c>
      <c r="L22" s="42" t="s">
        <v>209</v>
      </c>
      <c r="M22" s="40">
        <v>45993</v>
      </c>
      <c r="N22" s="41" t="s">
        <v>4</v>
      </c>
      <c r="O22" s="42" t="s">
        <v>209</v>
      </c>
      <c r="P22" s="40">
        <v>45995</v>
      </c>
      <c r="Q22" s="41" t="s">
        <v>4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52.8" spans="1:29">
      <c r="A23" s="30" t="s">
        <v>69</v>
      </c>
      <c r="B23" s="30" t="s">
        <v>349</v>
      </c>
      <c r="C23" s="30" t="s">
        <v>1080</v>
      </c>
      <c r="D23" s="31" t="s">
        <v>1081</v>
      </c>
      <c r="E23" s="31" t="s">
        <v>1082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4</v>
      </c>
      <c r="L23" s="42" t="s">
        <v>209</v>
      </c>
      <c r="M23" s="40">
        <v>45993</v>
      </c>
      <c r="N23" s="41" t="s">
        <v>4</v>
      </c>
      <c r="O23" s="42" t="s">
        <v>209</v>
      </c>
      <c r="P23" s="40">
        <v>45995</v>
      </c>
      <c r="Q23" s="41" t="s">
        <v>4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52.8" spans="1:29">
      <c r="A24" s="30" t="s">
        <v>69</v>
      </c>
      <c r="B24" s="30" t="s">
        <v>353</v>
      </c>
      <c r="C24" s="30" t="s">
        <v>1083</v>
      </c>
      <c r="D24" s="31" t="s">
        <v>1084</v>
      </c>
      <c r="E24" s="31" t="s">
        <v>1085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4</v>
      </c>
      <c r="L24" s="42" t="s">
        <v>209</v>
      </c>
      <c r="M24" s="40">
        <v>45993</v>
      </c>
      <c r="N24" s="41" t="s">
        <v>4</v>
      </c>
      <c r="O24" s="42" t="s">
        <v>209</v>
      </c>
      <c r="P24" s="40">
        <v>45995</v>
      </c>
      <c r="Q24" s="41" t="s">
        <v>4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52.8" spans="1:29">
      <c r="A25" s="30" t="s">
        <v>69</v>
      </c>
      <c r="B25" s="30" t="s">
        <v>1086</v>
      </c>
      <c r="C25" s="30" t="s">
        <v>1087</v>
      </c>
      <c r="D25" s="31" t="s">
        <v>1088</v>
      </c>
      <c r="E25" s="31" t="s">
        <v>1059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4</v>
      </c>
      <c r="L25" s="42" t="s">
        <v>209</v>
      </c>
      <c r="M25" s="40">
        <v>45993</v>
      </c>
      <c r="N25" s="41" t="s">
        <v>4</v>
      </c>
      <c r="O25" s="42" t="s">
        <v>209</v>
      </c>
      <c r="P25" s="40">
        <v>45995</v>
      </c>
      <c r="Q25" s="41" t="s">
        <v>4</v>
      </c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52.8" outlineLevel="1" spans="1:29">
      <c r="A26" s="30" t="s">
        <v>70</v>
      </c>
      <c r="B26" s="30" t="s">
        <v>356</v>
      </c>
      <c r="C26" s="30" t="s">
        <v>1089</v>
      </c>
      <c r="D26" s="31" t="s">
        <v>1090</v>
      </c>
      <c r="E26" s="31" t="s">
        <v>1091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4</v>
      </c>
      <c r="L26" s="42" t="s">
        <v>209</v>
      </c>
      <c r="M26" s="40">
        <v>45993</v>
      </c>
      <c r="N26" s="41" t="s">
        <v>4</v>
      </c>
      <c r="O26" s="42" t="s">
        <v>209</v>
      </c>
      <c r="P26" s="40">
        <v>45995</v>
      </c>
      <c r="Q26" s="41" t="s">
        <v>4</v>
      </c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52.8" outlineLevel="1" spans="1:29">
      <c r="A27" s="30" t="s">
        <v>70</v>
      </c>
      <c r="B27" s="30" t="s">
        <v>361</v>
      </c>
      <c r="C27" s="30" t="s">
        <v>1092</v>
      </c>
      <c r="D27" s="31" t="s">
        <v>1093</v>
      </c>
      <c r="E27" s="31" t="s">
        <v>1085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4</v>
      </c>
      <c r="L27" s="42" t="s">
        <v>209</v>
      </c>
      <c r="M27" s="40">
        <v>45993</v>
      </c>
      <c r="N27" s="41" t="s">
        <v>4</v>
      </c>
      <c r="O27" s="42" t="s">
        <v>209</v>
      </c>
      <c r="P27" s="40">
        <v>45995</v>
      </c>
      <c r="Q27" s="41" t="s">
        <v>4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52.8" outlineLevel="1" spans="1:29">
      <c r="A28" s="30" t="s">
        <v>70</v>
      </c>
      <c r="B28" s="30" t="s">
        <v>365</v>
      </c>
      <c r="C28" s="30" t="s">
        <v>1094</v>
      </c>
      <c r="D28" s="31" t="s">
        <v>1090</v>
      </c>
      <c r="E28" s="31" t="s">
        <v>1095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4</v>
      </c>
      <c r="L28" s="42" t="s">
        <v>209</v>
      </c>
      <c r="M28" s="40">
        <v>45993</v>
      </c>
      <c r="N28" s="41" t="s">
        <v>4</v>
      </c>
      <c r="O28" s="42" t="s">
        <v>209</v>
      </c>
      <c r="P28" s="40">
        <v>45995</v>
      </c>
      <c r="Q28" s="41" t="s">
        <v>4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264" outlineLevel="1" spans="1:29">
      <c r="A29" s="30" t="s">
        <v>71</v>
      </c>
      <c r="B29" s="30" t="s">
        <v>375</v>
      </c>
      <c r="C29" s="30" t="s">
        <v>1096</v>
      </c>
      <c r="D29" s="31" t="s">
        <v>1090</v>
      </c>
      <c r="E29" s="31" t="s">
        <v>1097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4</v>
      </c>
      <c r="L29" s="42" t="s">
        <v>209</v>
      </c>
      <c r="M29" s="40">
        <v>45993</v>
      </c>
      <c r="N29" s="41" t="s">
        <v>4</v>
      </c>
      <c r="O29" s="42" t="s">
        <v>209</v>
      </c>
      <c r="P29" s="40">
        <v>45995</v>
      </c>
      <c r="Q29" s="41" t="s">
        <v>4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92.4" outlineLevel="1" spans="1:29">
      <c r="A30" s="30" t="s">
        <v>71</v>
      </c>
      <c r="B30" s="30" t="s">
        <v>380</v>
      </c>
      <c r="C30" s="30" t="s">
        <v>1098</v>
      </c>
      <c r="D30" s="31" t="s">
        <v>1099</v>
      </c>
      <c r="E30" s="31" t="s">
        <v>1100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4</v>
      </c>
      <c r="L30" s="42" t="s">
        <v>209</v>
      </c>
      <c r="M30" s="40">
        <v>45993</v>
      </c>
      <c r="N30" s="41" t="s">
        <v>4</v>
      </c>
      <c r="O30" s="42" t="s">
        <v>209</v>
      </c>
      <c r="P30" s="40">
        <v>45995</v>
      </c>
      <c r="Q30" s="41" t="s">
        <v>4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52.8" outlineLevel="1" spans="1:29">
      <c r="A31" s="30" t="s">
        <v>71</v>
      </c>
      <c r="B31" s="30" t="s">
        <v>385</v>
      </c>
      <c r="C31" s="30" t="s">
        <v>1101</v>
      </c>
      <c r="D31" s="31" t="s">
        <v>1093</v>
      </c>
      <c r="E31" s="31" t="s">
        <v>1085</v>
      </c>
      <c r="F31" s="30" t="s">
        <v>237</v>
      </c>
      <c r="G31" s="32" t="s">
        <v>209</v>
      </c>
      <c r="H31" s="33"/>
      <c r="I31" s="33"/>
      <c r="J31" s="40">
        <v>45991</v>
      </c>
      <c r="K31" s="41" t="s">
        <v>4</v>
      </c>
      <c r="L31" s="42" t="s">
        <v>209</v>
      </c>
      <c r="M31" s="40">
        <v>45993</v>
      </c>
      <c r="N31" s="41" t="s">
        <v>4</v>
      </c>
      <c r="O31" s="42" t="s">
        <v>209</v>
      </c>
      <c r="P31" s="40">
        <v>45995</v>
      </c>
      <c r="Q31" s="41" t="s">
        <v>4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52.8" outlineLevel="1" spans="1:29">
      <c r="A32" s="30" t="s">
        <v>71</v>
      </c>
      <c r="B32" s="30" t="s">
        <v>389</v>
      </c>
      <c r="C32" s="30" t="s">
        <v>1102</v>
      </c>
      <c r="D32" s="31" t="s">
        <v>1090</v>
      </c>
      <c r="E32" s="31" t="s">
        <v>1059</v>
      </c>
      <c r="F32" s="30" t="s">
        <v>237</v>
      </c>
      <c r="G32" s="32" t="s">
        <v>209</v>
      </c>
      <c r="H32" s="33"/>
      <c r="I32" s="33"/>
      <c r="J32" s="40">
        <v>45991</v>
      </c>
      <c r="K32" s="41" t="s">
        <v>4</v>
      </c>
      <c r="L32" s="42" t="s">
        <v>209</v>
      </c>
      <c r="M32" s="40">
        <v>45993</v>
      </c>
      <c r="N32" s="41" t="s">
        <v>4</v>
      </c>
      <c r="O32" s="42" t="s">
        <v>209</v>
      </c>
      <c r="P32" s="40">
        <v>45995</v>
      </c>
      <c r="Q32" s="41" t="s">
        <v>4</v>
      </c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277.2" outlineLevel="1" spans="1:29">
      <c r="A33" s="30" t="s">
        <v>72</v>
      </c>
      <c r="B33" s="30" t="s">
        <v>392</v>
      </c>
      <c r="C33" s="30" t="s">
        <v>1103</v>
      </c>
      <c r="D33" s="31" t="s">
        <v>1104</v>
      </c>
      <c r="E33" s="31" t="s">
        <v>1105</v>
      </c>
      <c r="F33" s="30" t="s">
        <v>237</v>
      </c>
      <c r="G33" s="32" t="s">
        <v>209</v>
      </c>
      <c r="H33" s="33"/>
      <c r="I33" s="33"/>
      <c r="J33" s="40">
        <v>45991</v>
      </c>
      <c r="K33" s="41" t="s">
        <v>4</v>
      </c>
      <c r="L33" s="42" t="s">
        <v>209</v>
      </c>
      <c r="M33" s="40">
        <v>45993</v>
      </c>
      <c r="N33" s="41" t="s">
        <v>4</v>
      </c>
      <c r="O33" s="42" t="s">
        <v>209</v>
      </c>
      <c r="P33" s="40">
        <v>45995</v>
      </c>
      <c r="Q33" s="41" t="s">
        <v>4</v>
      </c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52.8" outlineLevel="1" spans="1:29">
      <c r="A34" s="30" t="s">
        <v>72</v>
      </c>
      <c r="B34" s="30" t="s">
        <v>396</v>
      </c>
      <c r="C34" s="30" t="s">
        <v>1106</v>
      </c>
      <c r="D34" s="31" t="s">
        <v>1107</v>
      </c>
      <c r="E34" s="31" t="s">
        <v>1108</v>
      </c>
      <c r="F34" s="30" t="s">
        <v>237</v>
      </c>
      <c r="G34" s="32" t="s">
        <v>209</v>
      </c>
      <c r="H34" s="33"/>
      <c r="I34" s="33"/>
      <c r="J34" s="40">
        <v>45991</v>
      </c>
      <c r="K34" s="41" t="s">
        <v>4</v>
      </c>
      <c r="L34" s="42" t="s">
        <v>209</v>
      </c>
      <c r="M34" s="40">
        <v>45993</v>
      </c>
      <c r="N34" s="41" t="s">
        <v>4</v>
      </c>
      <c r="O34" s="42" t="s">
        <v>209</v>
      </c>
      <c r="P34" s="40">
        <v>45995</v>
      </c>
      <c r="Q34" s="41" t="s">
        <v>4</v>
      </c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52.8" outlineLevel="1" spans="1:29">
      <c r="A35" s="30" t="s">
        <v>72</v>
      </c>
      <c r="B35" s="30" t="s">
        <v>399</v>
      </c>
      <c r="C35" s="30" t="s">
        <v>1109</v>
      </c>
      <c r="D35" s="31" t="s">
        <v>1110</v>
      </c>
      <c r="E35" s="31" t="s">
        <v>1108</v>
      </c>
      <c r="F35" s="30" t="s">
        <v>237</v>
      </c>
      <c r="G35" s="32" t="s">
        <v>209</v>
      </c>
      <c r="H35" s="33"/>
      <c r="I35" s="33"/>
      <c r="J35" s="40">
        <v>45991</v>
      </c>
      <c r="K35" s="41" t="s">
        <v>4</v>
      </c>
      <c r="L35" s="42" t="s">
        <v>209</v>
      </c>
      <c r="M35" s="40">
        <v>45993</v>
      </c>
      <c r="N35" s="41" t="s">
        <v>4</v>
      </c>
      <c r="O35" s="42" t="s">
        <v>209</v>
      </c>
      <c r="P35" s="40">
        <v>45995</v>
      </c>
      <c r="Q35" s="41" t="s">
        <v>4</v>
      </c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98" outlineLevel="1" spans="1:29">
      <c r="A36" s="30" t="s">
        <v>72</v>
      </c>
      <c r="B36" s="30" t="s">
        <v>402</v>
      </c>
      <c r="C36" s="30" t="s">
        <v>1111</v>
      </c>
      <c r="D36" s="31" t="s">
        <v>1112</v>
      </c>
      <c r="E36" s="31" t="s">
        <v>1113</v>
      </c>
      <c r="F36" s="30" t="s">
        <v>237</v>
      </c>
      <c r="G36" s="32" t="s">
        <v>209</v>
      </c>
      <c r="H36" s="33"/>
      <c r="I36" s="33"/>
      <c r="J36" s="40">
        <v>45991</v>
      </c>
      <c r="K36" s="41" t="s">
        <v>4</v>
      </c>
      <c r="L36" s="42" t="s">
        <v>209</v>
      </c>
      <c r="M36" s="40">
        <v>45993</v>
      </c>
      <c r="N36" s="41" t="s">
        <v>4</v>
      </c>
      <c r="O36" s="42" t="s">
        <v>209</v>
      </c>
      <c r="P36" s="40">
        <v>45995</v>
      </c>
      <c r="Q36" s="41" t="s">
        <v>4</v>
      </c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58.4" outlineLevel="1" spans="1:29">
      <c r="A37" s="30" t="s">
        <v>72</v>
      </c>
      <c r="B37" s="30" t="s">
        <v>1114</v>
      </c>
      <c r="C37" s="30" t="s">
        <v>1115</v>
      </c>
      <c r="D37" s="31" t="s">
        <v>1112</v>
      </c>
      <c r="E37" s="31" t="s">
        <v>1116</v>
      </c>
      <c r="F37" s="30" t="s">
        <v>237</v>
      </c>
      <c r="G37" s="32" t="s">
        <v>209</v>
      </c>
      <c r="H37" s="33"/>
      <c r="I37" s="33"/>
      <c r="J37" s="40">
        <v>45991</v>
      </c>
      <c r="K37" s="41" t="s">
        <v>4</v>
      </c>
      <c r="L37" s="42" t="s">
        <v>209</v>
      </c>
      <c r="M37" s="40">
        <v>45993</v>
      </c>
      <c r="N37" s="41" t="s">
        <v>4</v>
      </c>
      <c r="O37" s="42" t="s">
        <v>209</v>
      </c>
      <c r="P37" s="40">
        <v>45995</v>
      </c>
      <c r="Q37" s="41" t="s">
        <v>4</v>
      </c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52.8" outlineLevel="1" spans="1:29">
      <c r="A38" s="30" t="s">
        <v>72</v>
      </c>
      <c r="B38" s="30" t="s">
        <v>1117</v>
      </c>
      <c r="C38" s="30" t="s">
        <v>1118</v>
      </c>
      <c r="D38" s="31" t="s">
        <v>1119</v>
      </c>
      <c r="E38" s="31" t="s">
        <v>1085</v>
      </c>
      <c r="F38" s="30" t="s">
        <v>237</v>
      </c>
      <c r="G38" s="32" t="s">
        <v>209</v>
      </c>
      <c r="H38" s="33"/>
      <c r="I38" s="33"/>
      <c r="J38" s="40">
        <v>45991</v>
      </c>
      <c r="K38" s="41" t="s">
        <v>4</v>
      </c>
      <c r="L38" s="42" t="s">
        <v>209</v>
      </c>
      <c r="M38" s="40">
        <v>45993</v>
      </c>
      <c r="N38" s="41" t="s">
        <v>4</v>
      </c>
      <c r="O38" s="42" t="s">
        <v>209</v>
      </c>
      <c r="P38" s="40">
        <v>45995</v>
      </c>
      <c r="Q38" s="41" t="s">
        <v>4</v>
      </c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52.8" outlineLevel="1" spans="1:29">
      <c r="A39" s="30" t="s">
        <v>72</v>
      </c>
      <c r="B39" s="30" t="s">
        <v>1120</v>
      </c>
      <c r="C39" s="30" t="s">
        <v>1121</v>
      </c>
      <c r="D39" s="31" t="s">
        <v>1122</v>
      </c>
      <c r="E39" s="31" t="s">
        <v>1095</v>
      </c>
      <c r="F39" s="30" t="s">
        <v>237</v>
      </c>
      <c r="G39" s="32" t="s">
        <v>209</v>
      </c>
      <c r="H39" s="33"/>
      <c r="I39" s="33"/>
      <c r="J39" s="40">
        <v>45991</v>
      </c>
      <c r="K39" s="41" t="s">
        <v>4</v>
      </c>
      <c r="L39" s="42" t="s">
        <v>209</v>
      </c>
      <c r="M39" s="40">
        <v>45993</v>
      </c>
      <c r="N39" s="41" t="s">
        <v>4</v>
      </c>
      <c r="O39" s="42" t="s">
        <v>209</v>
      </c>
      <c r="P39" s="40">
        <v>45995</v>
      </c>
      <c r="Q39" s="41" t="s">
        <v>4</v>
      </c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8" outlineLevel="1" spans="1:29">
      <c r="A40" s="30"/>
      <c r="B40" s="30"/>
      <c r="C40" s="30"/>
      <c r="D40" s="31"/>
      <c r="E40" s="31"/>
      <c r="F40" s="30"/>
      <c r="G40" s="32"/>
      <c r="H40" s="33"/>
      <c r="I40" s="33"/>
      <c r="J40" s="42"/>
      <c r="K40" s="41"/>
      <c r="L40" s="42"/>
      <c r="M40" s="42"/>
      <c r="N40" s="41"/>
      <c r="O40" s="42"/>
      <c r="P40" s="42"/>
      <c r="Q40" s="41"/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8" outlineLevel="1" spans="1:29">
      <c r="A41" s="30"/>
      <c r="B41" s="30"/>
      <c r="C41" s="30"/>
      <c r="D41" s="31"/>
      <c r="E41" s="31"/>
      <c r="F41" s="30"/>
      <c r="G41" s="32"/>
      <c r="H41" s="33"/>
      <c r="I41" s="33"/>
      <c r="J41" s="42"/>
      <c r="K41" s="41"/>
      <c r="L41" s="42"/>
      <c r="M41" s="42"/>
      <c r="N41" s="41"/>
      <c r="O41" s="42"/>
      <c r="P41" s="42"/>
      <c r="Q41" s="41"/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8" outlineLevel="1" spans="1:29">
      <c r="A42" s="30"/>
      <c r="B42" s="30"/>
      <c r="C42" s="30"/>
      <c r="D42" s="31"/>
      <c r="E42" s="31"/>
      <c r="F42" s="30"/>
      <c r="G42" s="32"/>
      <c r="H42" s="33"/>
      <c r="I42" s="33"/>
      <c r="J42" s="42"/>
      <c r="K42" s="41"/>
      <c r="L42" s="42"/>
      <c r="M42" s="42"/>
      <c r="N42" s="41"/>
      <c r="O42" s="42"/>
      <c r="P42" s="42"/>
      <c r="Q42" s="41"/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8" outlineLevel="1" spans="1:29">
      <c r="A43" s="30"/>
      <c r="B43" s="30"/>
      <c r="C43" s="30"/>
      <c r="D43" s="31"/>
      <c r="E43" s="31"/>
      <c r="F43" s="30"/>
      <c r="G43" s="32"/>
      <c r="H43" s="33"/>
      <c r="I43" s="33"/>
      <c r="J43" s="42"/>
      <c r="K43" s="41"/>
      <c r="L43" s="42"/>
      <c r="M43" s="42"/>
      <c r="N43" s="41"/>
      <c r="O43" s="42"/>
      <c r="P43" s="42"/>
      <c r="Q43" s="41"/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8" outlineLevel="1" spans="1:29">
      <c r="A44" s="30"/>
      <c r="B44" s="30"/>
      <c r="C44" s="30"/>
      <c r="D44" s="31"/>
      <c r="E44" s="31"/>
      <c r="F44" s="30"/>
      <c r="G44" s="32"/>
      <c r="H44" s="33"/>
      <c r="I44" s="33"/>
      <c r="J44" s="42"/>
      <c r="K44" s="41"/>
      <c r="L44" s="42"/>
      <c r="M44" s="42"/>
      <c r="N44" s="41"/>
      <c r="O44" s="42"/>
      <c r="P44" s="42"/>
      <c r="Q44" s="41"/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8" outlineLevel="1" spans="1:29">
      <c r="A45" s="30"/>
      <c r="B45" s="30"/>
      <c r="C45" s="30"/>
      <c r="D45" s="31"/>
      <c r="E45" s="31"/>
      <c r="F45" s="30"/>
      <c r="G45" s="32"/>
      <c r="H45" s="33"/>
      <c r="I45" s="33"/>
      <c r="J45" s="42"/>
      <c r="K45" s="41"/>
      <c r="L45" s="42"/>
      <c r="M45" s="42"/>
      <c r="N45" s="41"/>
      <c r="O45" s="42"/>
      <c r="P45" s="42"/>
      <c r="Q45" s="41"/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8" outlineLevel="1" spans="1:29">
      <c r="A46" s="30"/>
      <c r="B46" s="30"/>
      <c r="C46" s="30"/>
      <c r="D46" s="31"/>
      <c r="E46" s="31"/>
      <c r="F46" s="30"/>
      <c r="G46" s="32"/>
      <c r="H46" s="33"/>
      <c r="I46" s="33"/>
      <c r="J46" s="42"/>
      <c r="K46" s="41"/>
      <c r="L46" s="42"/>
      <c r="M46" s="42"/>
      <c r="N46" s="41"/>
      <c r="O46" s="42"/>
      <c r="P46" s="42"/>
      <c r="Q46" s="41"/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8" outlineLevel="1" spans="1:29">
      <c r="A47" s="30"/>
      <c r="B47" s="30"/>
      <c r="C47" s="30"/>
      <c r="D47" s="31"/>
      <c r="E47" s="31"/>
      <c r="F47" s="30"/>
      <c r="G47" s="32"/>
      <c r="H47" s="33"/>
      <c r="I47" s="33"/>
      <c r="J47" s="42"/>
      <c r="K47" s="41"/>
      <c r="L47" s="42"/>
      <c r="M47" s="42"/>
      <c r="N47" s="41"/>
      <c r="O47" s="42"/>
      <c r="P47" s="42"/>
      <c r="Q47" s="41"/>
      <c r="R47" s="30"/>
      <c r="S47" s="43"/>
      <c r="T47" s="53"/>
      <c r="U47" s="43"/>
      <c r="V47" s="43"/>
      <c r="W47" s="43"/>
      <c r="X47" s="43"/>
      <c r="Y47" s="43"/>
      <c r="Z47" s="43"/>
      <c r="AA47" s="43"/>
      <c r="AB47" s="43"/>
      <c r="AC47" s="43"/>
    </row>
    <row r="48" ht="13.8" outlineLevel="1" spans="1:29">
      <c r="A48" s="30"/>
      <c r="B48" s="30"/>
      <c r="C48" s="30"/>
      <c r="D48" s="31"/>
      <c r="E48" s="31"/>
      <c r="F48" s="30"/>
      <c r="G48" s="32"/>
      <c r="H48" s="33"/>
      <c r="I48" s="33"/>
      <c r="J48" s="42"/>
      <c r="K48" s="41"/>
      <c r="L48" s="42"/>
      <c r="M48" s="42"/>
      <c r="N48" s="41"/>
      <c r="O48" s="42"/>
      <c r="P48" s="42"/>
      <c r="Q48" s="41"/>
      <c r="R48" s="30"/>
      <c r="S48" s="43"/>
      <c r="T48" s="53"/>
      <c r="U48" s="43"/>
      <c r="V48" s="43"/>
      <c r="W48" s="43"/>
      <c r="X48" s="43"/>
      <c r="Y48" s="43"/>
      <c r="Z48" s="43"/>
      <c r="AA48" s="43"/>
      <c r="AB48" s="43"/>
      <c r="AC48" s="43"/>
    </row>
    <row r="49" ht="13.8" spans="1:29">
      <c r="A49" s="30"/>
      <c r="B49" s="30"/>
      <c r="C49" s="30"/>
      <c r="D49" s="31"/>
      <c r="E49" s="31"/>
      <c r="F49" s="30"/>
      <c r="G49" s="32"/>
      <c r="H49" s="33"/>
      <c r="I49" s="33"/>
      <c r="J49" s="42"/>
      <c r="K49" s="41"/>
      <c r="L49" s="42"/>
      <c r="M49" s="42"/>
      <c r="N49" s="41"/>
      <c r="O49" s="42"/>
      <c r="P49" s="42"/>
      <c r="Q49" s="41"/>
      <c r="R49" s="30"/>
      <c r="S49" s="47"/>
      <c r="T49" s="51"/>
      <c r="U49" s="47"/>
      <c r="V49" s="47"/>
      <c r="W49" s="47"/>
      <c r="X49" s="47"/>
      <c r="Y49" s="47"/>
      <c r="Z49" s="47"/>
      <c r="AA49" s="47"/>
      <c r="AB49" s="47"/>
      <c r="AC49" s="47"/>
    </row>
    <row r="50" ht="13.8" spans="1:29">
      <c r="A50" s="30"/>
      <c r="B50" s="30"/>
      <c r="C50" s="30"/>
      <c r="D50" s="31"/>
      <c r="E50" s="31"/>
      <c r="F50" s="30"/>
      <c r="G50" s="32"/>
      <c r="H50" s="33"/>
      <c r="I50" s="33"/>
      <c r="J50" s="42"/>
      <c r="K50" s="41"/>
      <c r="L50" s="42"/>
      <c r="M50" s="42"/>
      <c r="N50" s="41"/>
      <c r="O50" s="42"/>
      <c r="P50" s="42"/>
      <c r="Q50" s="41"/>
      <c r="R50" s="30"/>
      <c r="S50" s="54"/>
      <c r="T50" s="55"/>
      <c r="U50" s="54"/>
      <c r="V50" s="54"/>
      <c r="W50" s="54"/>
      <c r="X50" s="54"/>
      <c r="Y50" s="54"/>
      <c r="Z50" s="54"/>
      <c r="AA50" s="54"/>
      <c r="AB50" s="54"/>
      <c r="AC50" s="54"/>
    </row>
    <row r="51" ht="13.8" spans="1:29">
      <c r="A51" s="30"/>
      <c r="B51" s="30"/>
      <c r="C51" s="30"/>
      <c r="D51" s="31"/>
      <c r="E51" s="31"/>
      <c r="F51" s="30"/>
      <c r="G51" s="32"/>
      <c r="H51" s="33"/>
      <c r="I51" s="33"/>
      <c r="J51" s="42"/>
      <c r="K51" s="41"/>
      <c r="L51" s="42"/>
      <c r="M51" s="42"/>
      <c r="N51" s="41"/>
      <c r="O51" s="42"/>
      <c r="P51" s="42"/>
      <c r="Q51" s="41"/>
      <c r="R51" s="30"/>
      <c r="S51" s="54"/>
      <c r="T51" s="55"/>
      <c r="U51" s="54"/>
      <c r="V51" s="54"/>
      <c r="W51" s="54"/>
      <c r="X51" s="54"/>
      <c r="Y51" s="54"/>
      <c r="Z51" s="54"/>
      <c r="AA51" s="54"/>
      <c r="AB51" s="54"/>
      <c r="AC51" s="54"/>
    </row>
    <row r="52" ht="13.8" outlineLevel="1" spans="1:29">
      <c r="A52" s="30"/>
      <c r="B52" s="30"/>
      <c r="C52" s="30"/>
      <c r="D52" s="31"/>
      <c r="E52" s="31"/>
      <c r="F52" s="30"/>
      <c r="G52" s="32"/>
      <c r="H52" s="33"/>
      <c r="I52" s="33"/>
      <c r="J52" s="42"/>
      <c r="K52" s="41"/>
      <c r="L52" s="42"/>
      <c r="M52" s="42"/>
      <c r="N52" s="41"/>
      <c r="O52" s="42"/>
      <c r="P52" s="42"/>
      <c r="Q52" s="41"/>
      <c r="R52" s="30"/>
      <c r="S52" s="37"/>
      <c r="T52" s="56"/>
      <c r="U52" s="37"/>
      <c r="V52" s="37"/>
      <c r="W52" s="37"/>
      <c r="X52" s="37"/>
      <c r="Y52" s="37"/>
      <c r="Z52" s="37"/>
      <c r="AA52" s="37"/>
      <c r="AB52" s="37"/>
      <c r="AC52" s="37"/>
    </row>
    <row r="53" ht="13.8" outlineLevel="1" spans="1:29">
      <c r="A53" s="30"/>
      <c r="B53" s="30"/>
      <c r="C53" s="30"/>
      <c r="D53" s="31"/>
      <c r="E53" s="31"/>
      <c r="F53" s="30"/>
      <c r="G53" s="32"/>
      <c r="H53" s="33"/>
      <c r="I53" s="33"/>
      <c r="J53" s="42"/>
      <c r="K53" s="41"/>
      <c r="L53" s="42"/>
      <c r="M53" s="42"/>
      <c r="N53" s="41"/>
      <c r="O53" s="42"/>
      <c r="P53" s="42"/>
      <c r="Q53" s="41"/>
      <c r="R53" s="30"/>
      <c r="S53" s="37"/>
      <c r="T53" s="56"/>
      <c r="U53" s="37"/>
      <c r="V53" s="37"/>
      <c r="W53" s="37"/>
      <c r="X53" s="37"/>
      <c r="Y53" s="37"/>
      <c r="Z53" s="37"/>
      <c r="AA53" s="37"/>
      <c r="AB53" s="37"/>
      <c r="AC53" s="37"/>
    </row>
    <row r="54" ht="64.5" customHeight="1" outlineLevel="1" spans="1:29">
      <c r="A54" s="62"/>
      <c r="B54" s="62"/>
      <c r="C54" s="62"/>
      <c r="D54" s="63"/>
      <c r="E54" s="63"/>
      <c r="F54" s="62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62"/>
      <c r="S54" s="37"/>
      <c r="T54" s="57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62"/>
      <c r="B55" s="62"/>
      <c r="C55" s="62"/>
      <c r="D55" s="63"/>
      <c r="E55" s="63"/>
      <c r="F55" s="62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67"/>
      <c r="S55" s="54"/>
      <c r="T55" s="55"/>
      <c r="U55" s="54"/>
      <c r="V55" s="54"/>
      <c r="W55" s="54"/>
      <c r="X55" s="54"/>
      <c r="Y55" s="54"/>
      <c r="Z55" s="54"/>
      <c r="AA55" s="54"/>
      <c r="AB55" s="54"/>
      <c r="AC55" s="54"/>
    </row>
    <row r="56" ht="64.5" customHeight="1" outlineLevel="1" spans="1:29">
      <c r="A56" s="62"/>
      <c r="B56" s="62"/>
      <c r="C56" s="62"/>
      <c r="D56" s="63"/>
      <c r="E56" s="63"/>
      <c r="F56" s="62"/>
      <c r="G56" s="1"/>
      <c r="H56" s="64"/>
      <c r="I56" s="64"/>
      <c r="J56" s="1"/>
      <c r="K56" s="1"/>
      <c r="L56" s="1"/>
      <c r="M56" s="1"/>
      <c r="N56" s="1"/>
      <c r="O56" s="1"/>
      <c r="P56" s="1"/>
      <c r="Q56" s="1"/>
      <c r="R56" s="67"/>
      <c r="S56" s="37"/>
      <c r="T56" s="56"/>
      <c r="U56" s="37"/>
      <c r="V56" s="37"/>
      <c r="W56" s="37"/>
      <c r="X56" s="37"/>
      <c r="Y56" s="37"/>
      <c r="Z56" s="37"/>
      <c r="AA56" s="37"/>
      <c r="AB56" s="37"/>
      <c r="AC56" s="37"/>
    </row>
    <row r="57" ht="64.5" customHeight="1" spans="1:29">
      <c r="A57" s="62"/>
      <c r="B57" s="62"/>
      <c r="C57" s="62"/>
      <c r="D57" s="65"/>
      <c r="E57" s="65"/>
      <c r="F57" s="66"/>
      <c r="G57" s="1"/>
      <c r="H57" s="64"/>
      <c r="I57" s="64"/>
      <c r="J57" s="1"/>
      <c r="K57" s="1"/>
      <c r="L57" s="1"/>
      <c r="M57" s="1"/>
      <c r="N57" s="1"/>
      <c r="O57" s="1"/>
      <c r="P57" s="1"/>
      <c r="Q57" s="1"/>
      <c r="R57" s="66"/>
      <c r="S57" s="37"/>
      <c r="T57" s="57"/>
      <c r="U57" s="37"/>
      <c r="V57" s="37"/>
      <c r="W57" s="37"/>
      <c r="X57" s="37"/>
      <c r="Y57" s="37"/>
      <c r="Z57" s="37"/>
      <c r="AA57" s="37"/>
      <c r="AB57" s="37"/>
      <c r="AC57" s="37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37"/>
      <c r="C228" s="38"/>
      <c r="D228" s="39"/>
      <c r="E228" s="39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37"/>
      <c r="C229" s="38"/>
      <c r="D229" s="39"/>
      <c r="E229" s="39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2.75" customHeight="1" spans="1:29">
      <c r="A252" s="37"/>
      <c r="B252" s="43"/>
      <c r="C252" s="58"/>
      <c r="D252" s="59"/>
      <c r="E252" s="59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2.75" customHeight="1" spans="1:29">
      <c r="A253" s="37"/>
      <c r="B253" s="43"/>
      <c r="C253" s="58"/>
      <c r="D253" s="59"/>
      <c r="E253" s="59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7:H57 G11:G56 H2:H3 L11:L57 M2:M3 O11:O5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26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62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COUNTA(B11:B960)-COUNTIF($N11:$N960,"Skip")</f>
        <v>11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COUNTIF($G11:$G960,C5)</f>
        <v>11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COUNTIF($L11:$L960,C5)</f>
        <v>11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COUNTIF($O11:$O960,C5)</f>
        <v>11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184.8" spans="1:29">
      <c r="A11" s="30" t="s">
        <v>61</v>
      </c>
      <c r="B11" s="30" t="s">
        <v>837</v>
      </c>
      <c r="C11" s="30" t="s">
        <v>1123</v>
      </c>
      <c r="D11" s="31" t="s">
        <v>1124</v>
      </c>
      <c r="E11" s="31" t="s">
        <v>1125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4</v>
      </c>
      <c r="L11" s="42" t="s">
        <v>209</v>
      </c>
      <c r="M11" s="40">
        <v>45993</v>
      </c>
      <c r="N11" s="41" t="s">
        <v>4</v>
      </c>
      <c r="O11" s="42" t="s">
        <v>209</v>
      </c>
      <c r="P11" s="40">
        <v>45995</v>
      </c>
      <c r="Q11" s="41" t="s">
        <v>4</v>
      </c>
      <c r="R11" s="4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39.6" spans="1:29">
      <c r="A12" s="30" t="s">
        <v>61</v>
      </c>
      <c r="B12" s="30" t="s">
        <v>840</v>
      </c>
      <c r="C12" s="30" t="s">
        <v>1126</v>
      </c>
      <c r="D12" s="31" t="s">
        <v>1124</v>
      </c>
      <c r="E12" s="31" t="s">
        <v>1127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4</v>
      </c>
      <c r="L12" s="42" t="s">
        <v>209</v>
      </c>
      <c r="M12" s="40">
        <v>45993</v>
      </c>
      <c r="N12" s="41" t="s">
        <v>4</v>
      </c>
      <c r="O12" s="42" t="s">
        <v>209</v>
      </c>
      <c r="P12" s="40">
        <v>45995</v>
      </c>
      <c r="Q12" s="41" t="s">
        <v>4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39.6" spans="1:29">
      <c r="A13" s="30" t="s">
        <v>61</v>
      </c>
      <c r="B13" s="30" t="s">
        <v>844</v>
      </c>
      <c r="C13" s="30" t="s">
        <v>1128</v>
      </c>
      <c r="D13" s="31" t="s">
        <v>1129</v>
      </c>
      <c r="E13" s="31" t="s">
        <v>342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4</v>
      </c>
      <c r="L13" s="42" t="s">
        <v>209</v>
      </c>
      <c r="M13" s="40">
        <v>45993</v>
      </c>
      <c r="N13" s="41" t="s">
        <v>4</v>
      </c>
      <c r="O13" s="42" t="s">
        <v>209</v>
      </c>
      <c r="P13" s="40">
        <v>45995</v>
      </c>
      <c r="Q13" s="41" t="s">
        <v>4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79.2" spans="1:29">
      <c r="A14" s="30" t="s">
        <v>63</v>
      </c>
      <c r="B14" s="30" t="s">
        <v>846</v>
      </c>
      <c r="C14" s="30" t="s">
        <v>1130</v>
      </c>
      <c r="D14" s="31" t="s">
        <v>1131</v>
      </c>
      <c r="E14" s="31" t="s">
        <v>1132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4</v>
      </c>
      <c r="L14" s="42" t="s">
        <v>209</v>
      </c>
      <c r="M14" s="40">
        <v>45993</v>
      </c>
      <c r="N14" s="41" t="s">
        <v>4</v>
      </c>
      <c r="O14" s="42" t="s">
        <v>209</v>
      </c>
      <c r="P14" s="40">
        <v>45995</v>
      </c>
      <c r="Q14" s="41" t="s">
        <v>4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52.8" spans="1:29">
      <c r="A15" s="30" t="s">
        <v>63</v>
      </c>
      <c r="B15" s="30" t="s">
        <v>849</v>
      </c>
      <c r="C15" s="30" t="s">
        <v>1133</v>
      </c>
      <c r="D15" s="31" t="s">
        <v>1134</v>
      </c>
      <c r="E15" s="31" t="s">
        <v>1135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4</v>
      </c>
      <c r="L15" s="42" t="s">
        <v>209</v>
      </c>
      <c r="M15" s="40">
        <v>45993</v>
      </c>
      <c r="N15" s="41" t="s">
        <v>4</v>
      </c>
      <c r="O15" s="42" t="s">
        <v>209</v>
      </c>
      <c r="P15" s="40">
        <v>45995</v>
      </c>
      <c r="Q15" s="41" t="s">
        <v>4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52.8" spans="1:29">
      <c r="A16" s="30" t="s">
        <v>63</v>
      </c>
      <c r="B16" s="30" t="s">
        <v>852</v>
      </c>
      <c r="C16" s="30" t="s">
        <v>1136</v>
      </c>
      <c r="D16" s="31" t="s">
        <v>1137</v>
      </c>
      <c r="E16" s="31" t="s">
        <v>918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4</v>
      </c>
      <c r="L16" s="42" t="s">
        <v>209</v>
      </c>
      <c r="M16" s="40">
        <v>45993</v>
      </c>
      <c r="N16" s="41" t="s">
        <v>4</v>
      </c>
      <c r="O16" s="42" t="s">
        <v>209</v>
      </c>
      <c r="P16" s="40">
        <v>45995</v>
      </c>
      <c r="Q16" s="41" t="s">
        <v>4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52.8" spans="1:29">
      <c r="A17" s="30" t="s">
        <v>63</v>
      </c>
      <c r="B17" s="30" t="s">
        <v>1138</v>
      </c>
      <c r="C17" s="30" t="s">
        <v>1139</v>
      </c>
      <c r="D17" s="31" t="s">
        <v>1140</v>
      </c>
      <c r="E17" s="31" t="s">
        <v>918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4</v>
      </c>
      <c r="L17" s="42" t="s">
        <v>209</v>
      </c>
      <c r="M17" s="40">
        <v>45993</v>
      </c>
      <c r="N17" s="41" t="s">
        <v>4</v>
      </c>
      <c r="O17" s="42" t="s">
        <v>209</v>
      </c>
      <c r="P17" s="40">
        <v>45995</v>
      </c>
      <c r="Q17" s="41" t="s">
        <v>4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52.8" spans="1:29">
      <c r="A18" s="30" t="s">
        <v>63</v>
      </c>
      <c r="B18" s="30" t="s">
        <v>1141</v>
      </c>
      <c r="C18" s="30" t="s">
        <v>1142</v>
      </c>
      <c r="D18" s="31" t="s">
        <v>1131</v>
      </c>
      <c r="E18" s="31" t="s">
        <v>1143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4</v>
      </c>
      <c r="L18" s="42" t="s">
        <v>209</v>
      </c>
      <c r="M18" s="40">
        <v>45993</v>
      </c>
      <c r="N18" s="41" t="s">
        <v>4</v>
      </c>
      <c r="O18" s="42" t="s">
        <v>209</v>
      </c>
      <c r="P18" s="40">
        <v>45995</v>
      </c>
      <c r="Q18" s="41" t="s">
        <v>4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66" spans="1:29">
      <c r="A19" s="30" t="s">
        <v>64</v>
      </c>
      <c r="B19" s="30" t="s">
        <v>855</v>
      </c>
      <c r="C19" s="30" t="s">
        <v>1144</v>
      </c>
      <c r="D19" s="31" t="s">
        <v>1131</v>
      </c>
      <c r="E19" s="31" t="s">
        <v>1145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4</v>
      </c>
      <c r="L19" s="42" t="s">
        <v>209</v>
      </c>
      <c r="M19" s="40">
        <v>45993</v>
      </c>
      <c r="N19" s="41" t="s">
        <v>4</v>
      </c>
      <c r="O19" s="42" t="s">
        <v>209</v>
      </c>
      <c r="P19" s="40">
        <v>45995</v>
      </c>
      <c r="Q19" s="41" t="s">
        <v>4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52.8" spans="1:29">
      <c r="A20" s="30" t="s">
        <v>64</v>
      </c>
      <c r="B20" s="30" t="s">
        <v>859</v>
      </c>
      <c r="C20" s="30" t="s">
        <v>1146</v>
      </c>
      <c r="D20" s="31" t="s">
        <v>1140</v>
      </c>
      <c r="E20" s="31" t="s">
        <v>1147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4</v>
      </c>
      <c r="L20" s="42" t="s">
        <v>209</v>
      </c>
      <c r="M20" s="40">
        <v>45993</v>
      </c>
      <c r="N20" s="41" t="s">
        <v>4</v>
      </c>
      <c r="O20" s="42" t="s">
        <v>209</v>
      </c>
      <c r="P20" s="40">
        <v>45995</v>
      </c>
      <c r="Q20" s="41" t="s">
        <v>4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52.8" spans="1:29">
      <c r="A21" s="30" t="s">
        <v>64</v>
      </c>
      <c r="B21" s="30" t="s">
        <v>863</v>
      </c>
      <c r="C21" s="30" t="s">
        <v>1148</v>
      </c>
      <c r="D21" s="31" t="s">
        <v>1131</v>
      </c>
      <c r="E21" s="31" t="s">
        <v>1147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4</v>
      </c>
      <c r="L21" s="42" t="s">
        <v>209</v>
      </c>
      <c r="M21" s="40">
        <v>45993</v>
      </c>
      <c r="N21" s="41" t="s">
        <v>4</v>
      </c>
      <c r="O21" s="42" t="s">
        <v>209</v>
      </c>
      <c r="P21" s="40">
        <v>45995</v>
      </c>
      <c r="Q21" s="41" t="s">
        <v>4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13.8" spans="1:29">
      <c r="A22" s="30"/>
      <c r="B22" s="30"/>
      <c r="C22" s="30"/>
      <c r="D22" s="31"/>
      <c r="E22" s="31"/>
      <c r="F22" s="30"/>
      <c r="G22" s="32"/>
      <c r="H22" s="33"/>
      <c r="I22" s="33"/>
      <c r="J22" s="40"/>
      <c r="K22" s="41"/>
      <c r="L22" s="42"/>
      <c r="M22" s="40"/>
      <c r="N22" s="41"/>
      <c r="O22" s="42"/>
      <c r="P22" s="40"/>
      <c r="Q22" s="41"/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13.8" spans="1:29">
      <c r="A23" s="30"/>
      <c r="B23" s="30"/>
      <c r="C23" s="30"/>
      <c r="D23" s="31"/>
      <c r="E23" s="31"/>
      <c r="F23" s="30"/>
      <c r="G23" s="32"/>
      <c r="H23" s="33"/>
      <c r="I23" s="33"/>
      <c r="J23" s="40"/>
      <c r="K23" s="41"/>
      <c r="L23" s="42"/>
      <c r="M23" s="40"/>
      <c r="N23" s="41"/>
      <c r="O23" s="42"/>
      <c r="P23" s="40"/>
      <c r="Q23" s="41"/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13.8" spans="1:29">
      <c r="A24" s="30"/>
      <c r="B24" s="30"/>
      <c r="C24" s="30"/>
      <c r="D24" s="31"/>
      <c r="E24" s="31"/>
      <c r="F24" s="30"/>
      <c r="G24" s="32"/>
      <c r="H24" s="33"/>
      <c r="I24" s="33"/>
      <c r="J24" s="40"/>
      <c r="K24" s="41"/>
      <c r="L24" s="42"/>
      <c r="M24" s="40"/>
      <c r="N24" s="41"/>
      <c r="O24" s="42"/>
      <c r="P24" s="40"/>
      <c r="Q24" s="41"/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13.8" spans="1:29">
      <c r="A25" s="30"/>
      <c r="B25" s="30"/>
      <c r="C25" s="30"/>
      <c r="D25" s="31"/>
      <c r="E25" s="31"/>
      <c r="F25" s="30"/>
      <c r="G25" s="32"/>
      <c r="H25" s="33"/>
      <c r="I25" s="33"/>
      <c r="J25" s="40"/>
      <c r="K25" s="41"/>
      <c r="L25" s="42"/>
      <c r="M25" s="40"/>
      <c r="N25" s="41"/>
      <c r="O25" s="42"/>
      <c r="P25" s="40"/>
      <c r="Q25" s="41"/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13.8" outlineLevel="1" spans="1:29">
      <c r="A26" s="30"/>
      <c r="B26" s="30"/>
      <c r="C26" s="30"/>
      <c r="D26" s="31"/>
      <c r="E26" s="31"/>
      <c r="F26" s="30"/>
      <c r="G26" s="32"/>
      <c r="H26" s="33"/>
      <c r="I26" s="33"/>
      <c r="J26" s="40"/>
      <c r="K26" s="41"/>
      <c r="L26" s="42"/>
      <c r="M26" s="40"/>
      <c r="N26" s="41"/>
      <c r="O26" s="42"/>
      <c r="P26" s="40"/>
      <c r="Q26" s="41"/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13.8" outlineLevel="1" spans="1:29">
      <c r="A27" s="30"/>
      <c r="B27" s="30"/>
      <c r="C27" s="30"/>
      <c r="D27" s="31"/>
      <c r="E27" s="31"/>
      <c r="F27" s="30"/>
      <c r="G27" s="32"/>
      <c r="H27" s="33"/>
      <c r="I27" s="33"/>
      <c r="J27" s="40"/>
      <c r="K27" s="41"/>
      <c r="L27" s="42"/>
      <c r="M27" s="40"/>
      <c r="N27" s="41"/>
      <c r="O27" s="42"/>
      <c r="P27" s="40"/>
      <c r="Q27" s="41"/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13.8" outlineLevel="1" spans="1:29">
      <c r="A28" s="30"/>
      <c r="B28" s="30"/>
      <c r="C28" s="30"/>
      <c r="D28" s="31"/>
      <c r="E28" s="31"/>
      <c r="F28" s="30"/>
      <c r="G28" s="32"/>
      <c r="H28" s="33"/>
      <c r="I28" s="33"/>
      <c r="J28" s="40"/>
      <c r="K28" s="41"/>
      <c r="L28" s="42"/>
      <c r="M28" s="40"/>
      <c r="N28" s="41"/>
      <c r="O28" s="42"/>
      <c r="P28" s="40"/>
      <c r="Q28" s="41"/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13.8" outlineLevel="1" spans="1:29">
      <c r="A29" s="30"/>
      <c r="B29" s="30"/>
      <c r="C29" s="30"/>
      <c r="D29" s="31"/>
      <c r="E29" s="31"/>
      <c r="F29" s="30"/>
      <c r="G29" s="32"/>
      <c r="H29" s="33"/>
      <c r="I29" s="33"/>
      <c r="J29" s="40"/>
      <c r="K29" s="41"/>
      <c r="L29" s="42"/>
      <c r="M29" s="40"/>
      <c r="N29" s="41"/>
      <c r="O29" s="42"/>
      <c r="P29" s="40"/>
      <c r="Q29" s="41"/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13.8" outlineLevel="1" spans="1:29">
      <c r="A30" s="30"/>
      <c r="B30" s="30"/>
      <c r="C30" s="30"/>
      <c r="D30" s="31"/>
      <c r="E30" s="31"/>
      <c r="F30" s="30"/>
      <c r="G30" s="32"/>
      <c r="H30" s="33"/>
      <c r="I30" s="33"/>
      <c r="J30" s="40"/>
      <c r="K30" s="41"/>
      <c r="L30" s="42"/>
      <c r="M30" s="40"/>
      <c r="N30" s="41"/>
      <c r="O30" s="42"/>
      <c r="P30" s="40"/>
      <c r="Q30" s="41"/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13.8" outlineLevel="1" spans="1:29">
      <c r="A31" s="30"/>
      <c r="B31" s="30"/>
      <c r="C31" s="30"/>
      <c r="D31" s="31"/>
      <c r="E31" s="31"/>
      <c r="F31" s="30"/>
      <c r="G31" s="32"/>
      <c r="H31" s="33"/>
      <c r="I31" s="33"/>
      <c r="J31" s="40"/>
      <c r="K31" s="41"/>
      <c r="L31" s="42"/>
      <c r="M31" s="40"/>
      <c r="N31" s="41"/>
      <c r="O31" s="42"/>
      <c r="P31" s="40"/>
      <c r="Q31" s="41"/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13.8" outlineLevel="1" spans="1:29">
      <c r="A32" s="30"/>
      <c r="B32" s="30"/>
      <c r="C32" s="30"/>
      <c r="D32" s="31"/>
      <c r="E32" s="31"/>
      <c r="F32" s="30"/>
      <c r="G32" s="32"/>
      <c r="H32" s="33"/>
      <c r="I32" s="33"/>
      <c r="J32" s="40"/>
      <c r="K32" s="41"/>
      <c r="L32" s="42"/>
      <c r="M32" s="40"/>
      <c r="N32" s="41"/>
      <c r="O32" s="42"/>
      <c r="P32" s="40"/>
      <c r="Q32" s="41"/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3.8" outlineLevel="1" spans="1:29">
      <c r="A33" s="30"/>
      <c r="B33" s="30"/>
      <c r="C33" s="30"/>
      <c r="D33" s="31"/>
      <c r="E33" s="31"/>
      <c r="F33" s="30"/>
      <c r="G33" s="32"/>
      <c r="H33" s="33"/>
      <c r="I33" s="33"/>
      <c r="J33" s="40"/>
      <c r="K33" s="41"/>
      <c r="L33" s="42"/>
      <c r="M33" s="40"/>
      <c r="N33" s="41"/>
      <c r="O33" s="42"/>
      <c r="P33" s="40"/>
      <c r="Q33" s="41"/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3.8" outlineLevel="1" spans="1:29">
      <c r="A34" s="30"/>
      <c r="B34" s="30"/>
      <c r="C34" s="30"/>
      <c r="D34" s="31"/>
      <c r="E34" s="31"/>
      <c r="F34" s="30"/>
      <c r="G34" s="32"/>
      <c r="H34" s="33"/>
      <c r="I34" s="33"/>
      <c r="J34" s="40"/>
      <c r="K34" s="41"/>
      <c r="L34" s="42"/>
      <c r="M34" s="40"/>
      <c r="N34" s="41"/>
      <c r="O34" s="42"/>
      <c r="P34" s="40"/>
      <c r="Q34" s="41"/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3.8" outlineLevel="1" spans="1:29">
      <c r="A35" s="30"/>
      <c r="B35" s="30"/>
      <c r="C35" s="30"/>
      <c r="D35" s="31"/>
      <c r="E35" s="31"/>
      <c r="F35" s="30"/>
      <c r="G35" s="32"/>
      <c r="H35" s="33"/>
      <c r="I35" s="33"/>
      <c r="J35" s="40"/>
      <c r="K35" s="41"/>
      <c r="L35" s="42"/>
      <c r="M35" s="40"/>
      <c r="N35" s="41"/>
      <c r="O35" s="42"/>
      <c r="P35" s="40"/>
      <c r="Q35" s="41"/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3.8" outlineLevel="1" spans="1:29">
      <c r="A36" s="30"/>
      <c r="B36" s="30"/>
      <c r="C36" s="30"/>
      <c r="D36" s="31"/>
      <c r="E36" s="31"/>
      <c r="F36" s="30"/>
      <c r="G36" s="32"/>
      <c r="H36" s="33"/>
      <c r="I36" s="33"/>
      <c r="J36" s="40"/>
      <c r="K36" s="41"/>
      <c r="L36" s="42"/>
      <c r="M36" s="40"/>
      <c r="N36" s="41"/>
      <c r="O36" s="42"/>
      <c r="P36" s="40"/>
      <c r="Q36" s="41"/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3.8" outlineLevel="1" spans="1:29">
      <c r="A37" s="30"/>
      <c r="B37" s="30"/>
      <c r="C37" s="30"/>
      <c r="D37" s="31"/>
      <c r="E37" s="31"/>
      <c r="F37" s="30"/>
      <c r="G37" s="32"/>
      <c r="H37" s="33"/>
      <c r="I37" s="33"/>
      <c r="J37" s="40"/>
      <c r="K37" s="41"/>
      <c r="L37" s="42"/>
      <c r="M37" s="40"/>
      <c r="N37" s="41"/>
      <c r="O37" s="42"/>
      <c r="P37" s="40"/>
      <c r="Q37" s="41"/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8" outlineLevel="1" spans="1:29">
      <c r="A38" s="30"/>
      <c r="B38" s="30"/>
      <c r="C38" s="30"/>
      <c r="D38" s="31"/>
      <c r="E38" s="31"/>
      <c r="F38" s="30"/>
      <c r="G38" s="32"/>
      <c r="H38" s="33"/>
      <c r="I38" s="33"/>
      <c r="J38" s="42"/>
      <c r="K38" s="41"/>
      <c r="L38" s="42"/>
      <c r="M38" s="42"/>
      <c r="N38" s="41"/>
      <c r="O38" s="42"/>
      <c r="P38" s="42"/>
      <c r="Q38" s="41"/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8" outlineLevel="1" spans="1:29">
      <c r="A39" s="30"/>
      <c r="B39" s="30"/>
      <c r="C39" s="30"/>
      <c r="D39" s="31"/>
      <c r="E39" s="31"/>
      <c r="F39" s="30"/>
      <c r="G39" s="32"/>
      <c r="H39" s="33"/>
      <c r="I39" s="33"/>
      <c r="J39" s="42"/>
      <c r="K39" s="41"/>
      <c r="L39" s="42"/>
      <c r="M39" s="42"/>
      <c r="N39" s="41"/>
      <c r="O39" s="42"/>
      <c r="P39" s="42"/>
      <c r="Q39" s="41"/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8" outlineLevel="1" spans="1:29">
      <c r="A40" s="30"/>
      <c r="B40" s="30"/>
      <c r="C40" s="30"/>
      <c r="D40" s="31"/>
      <c r="E40" s="31"/>
      <c r="F40" s="30"/>
      <c r="G40" s="32"/>
      <c r="H40" s="33"/>
      <c r="I40" s="33"/>
      <c r="J40" s="42"/>
      <c r="K40" s="41"/>
      <c r="L40" s="42"/>
      <c r="M40" s="42"/>
      <c r="N40" s="41"/>
      <c r="O40" s="42"/>
      <c r="P40" s="42"/>
      <c r="Q40" s="41"/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8" outlineLevel="1" spans="1:29">
      <c r="A41" s="30"/>
      <c r="B41" s="30"/>
      <c r="C41" s="30"/>
      <c r="D41" s="31"/>
      <c r="E41" s="31"/>
      <c r="F41" s="30"/>
      <c r="G41" s="32"/>
      <c r="H41" s="33"/>
      <c r="I41" s="33"/>
      <c r="J41" s="42"/>
      <c r="K41" s="41"/>
      <c r="L41" s="42"/>
      <c r="M41" s="42"/>
      <c r="N41" s="41"/>
      <c r="O41" s="42"/>
      <c r="P41" s="42"/>
      <c r="Q41" s="41"/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8" outlineLevel="1" spans="1:29">
      <c r="A42" s="30"/>
      <c r="B42" s="30"/>
      <c r="C42" s="30"/>
      <c r="D42" s="31"/>
      <c r="E42" s="31"/>
      <c r="F42" s="30"/>
      <c r="G42" s="32"/>
      <c r="H42" s="33"/>
      <c r="I42" s="33"/>
      <c r="J42" s="42"/>
      <c r="K42" s="41"/>
      <c r="L42" s="42"/>
      <c r="M42" s="42"/>
      <c r="N42" s="41"/>
      <c r="O42" s="42"/>
      <c r="P42" s="42"/>
      <c r="Q42" s="41"/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8" outlineLevel="1" spans="1:29">
      <c r="A43" s="30"/>
      <c r="B43" s="30"/>
      <c r="C43" s="30"/>
      <c r="D43" s="31"/>
      <c r="E43" s="31"/>
      <c r="F43" s="30"/>
      <c r="G43" s="32"/>
      <c r="H43" s="33"/>
      <c r="I43" s="33"/>
      <c r="J43" s="42"/>
      <c r="K43" s="41"/>
      <c r="L43" s="42"/>
      <c r="M43" s="42"/>
      <c r="N43" s="41"/>
      <c r="O43" s="42"/>
      <c r="P43" s="42"/>
      <c r="Q43" s="41"/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8" outlineLevel="1" spans="1:29">
      <c r="A44" s="30"/>
      <c r="B44" s="30"/>
      <c r="C44" s="30"/>
      <c r="D44" s="31"/>
      <c r="E44" s="31"/>
      <c r="F44" s="30"/>
      <c r="G44" s="32"/>
      <c r="H44" s="33"/>
      <c r="I44" s="33"/>
      <c r="J44" s="42"/>
      <c r="K44" s="41"/>
      <c r="L44" s="42"/>
      <c r="M44" s="42"/>
      <c r="N44" s="41"/>
      <c r="O44" s="42"/>
      <c r="P44" s="42"/>
      <c r="Q44" s="41"/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8" outlineLevel="1" spans="1:29">
      <c r="A45" s="30"/>
      <c r="B45" s="30"/>
      <c r="C45" s="30"/>
      <c r="D45" s="31"/>
      <c r="E45" s="31"/>
      <c r="F45" s="30"/>
      <c r="G45" s="32"/>
      <c r="H45" s="33"/>
      <c r="I45" s="33"/>
      <c r="J45" s="42"/>
      <c r="K45" s="41"/>
      <c r="L45" s="42"/>
      <c r="M45" s="42"/>
      <c r="N45" s="41"/>
      <c r="O45" s="42"/>
      <c r="P45" s="42"/>
      <c r="Q45" s="41"/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8" outlineLevel="1" spans="1:29">
      <c r="A46" s="30"/>
      <c r="B46" s="30"/>
      <c r="C46" s="30"/>
      <c r="D46" s="31"/>
      <c r="E46" s="31"/>
      <c r="F46" s="30"/>
      <c r="G46" s="32"/>
      <c r="H46" s="33"/>
      <c r="I46" s="33"/>
      <c r="J46" s="42"/>
      <c r="K46" s="41"/>
      <c r="L46" s="42"/>
      <c r="M46" s="42"/>
      <c r="N46" s="41"/>
      <c r="O46" s="42"/>
      <c r="P46" s="42"/>
      <c r="Q46" s="41"/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8" outlineLevel="1" spans="1:29">
      <c r="A47" s="30"/>
      <c r="B47" s="30"/>
      <c r="C47" s="30"/>
      <c r="D47" s="31"/>
      <c r="E47" s="31"/>
      <c r="F47" s="30"/>
      <c r="G47" s="32"/>
      <c r="H47" s="33"/>
      <c r="I47" s="33"/>
      <c r="J47" s="42"/>
      <c r="K47" s="41"/>
      <c r="L47" s="42"/>
      <c r="M47" s="42"/>
      <c r="N47" s="41"/>
      <c r="O47" s="42"/>
      <c r="P47" s="42"/>
      <c r="Q47" s="41"/>
      <c r="R47" s="30"/>
      <c r="S47" s="43"/>
      <c r="T47" s="53"/>
      <c r="U47" s="43"/>
      <c r="V47" s="43"/>
      <c r="W47" s="43"/>
      <c r="X47" s="43"/>
      <c r="Y47" s="43"/>
      <c r="Z47" s="43"/>
      <c r="AA47" s="43"/>
      <c r="AB47" s="43"/>
      <c r="AC47" s="43"/>
    </row>
    <row r="48" ht="13.8" outlineLevel="1" spans="1:29">
      <c r="A48" s="30"/>
      <c r="B48" s="30"/>
      <c r="C48" s="30"/>
      <c r="D48" s="31"/>
      <c r="E48" s="31"/>
      <c r="F48" s="30"/>
      <c r="G48" s="32"/>
      <c r="H48" s="33"/>
      <c r="I48" s="33"/>
      <c r="J48" s="42"/>
      <c r="K48" s="41"/>
      <c r="L48" s="42"/>
      <c r="M48" s="42"/>
      <c r="N48" s="41"/>
      <c r="O48" s="42"/>
      <c r="P48" s="42"/>
      <c r="Q48" s="41"/>
      <c r="R48" s="30"/>
      <c r="S48" s="43"/>
      <c r="T48" s="53"/>
      <c r="U48" s="43"/>
      <c r="V48" s="43"/>
      <c r="W48" s="43"/>
      <c r="X48" s="43"/>
      <c r="Y48" s="43"/>
      <c r="Z48" s="43"/>
      <c r="AA48" s="43"/>
      <c r="AB48" s="43"/>
      <c r="AC48" s="43"/>
    </row>
    <row r="49" ht="13.8" spans="1:29">
      <c r="A49" s="30"/>
      <c r="B49" s="30"/>
      <c r="C49" s="30"/>
      <c r="D49" s="31"/>
      <c r="E49" s="31"/>
      <c r="F49" s="30"/>
      <c r="G49" s="32"/>
      <c r="H49" s="33"/>
      <c r="I49" s="33"/>
      <c r="J49" s="42"/>
      <c r="K49" s="41"/>
      <c r="L49" s="42"/>
      <c r="M49" s="42"/>
      <c r="N49" s="41"/>
      <c r="O49" s="42"/>
      <c r="P49" s="42"/>
      <c r="Q49" s="41"/>
      <c r="R49" s="30"/>
      <c r="S49" s="47"/>
      <c r="T49" s="51"/>
      <c r="U49" s="47"/>
      <c r="V49" s="47"/>
      <c r="W49" s="47"/>
      <c r="X49" s="47"/>
      <c r="Y49" s="47"/>
      <c r="Z49" s="47"/>
      <c r="AA49" s="47"/>
      <c r="AB49" s="47"/>
      <c r="AC49" s="47"/>
    </row>
    <row r="50" ht="13.8" spans="1:29">
      <c r="A50" s="30"/>
      <c r="B50" s="30"/>
      <c r="C50" s="30"/>
      <c r="D50" s="31"/>
      <c r="E50" s="31"/>
      <c r="F50" s="30"/>
      <c r="G50" s="32"/>
      <c r="H50" s="33"/>
      <c r="I50" s="33"/>
      <c r="J50" s="42"/>
      <c r="K50" s="41"/>
      <c r="L50" s="42"/>
      <c r="M50" s="42"/>
      <c r="N50" s="41"/>
      <c r="O50" s="42"/>
      <c r="P50" s="42"/>
      <c r="Q50" s="41"/>
      <c r="R50" s="30"/>
      <c r="S50" s="54"/>
      <c r="T50" s="55"/>
      <c r="U50" s="54"/>
      <c r="V50" s="54"/>
      <c r="W50" s="54"/>
      <c r="X50" s="54"/>
      <c r="Y50" s="54"/>
      <c r="Z50" s="54"/>
      <c r="AA50" s="54"/>
      <c r="AB50" s="54"/>
      <c r="AC50" s="54"/>
    </row>
    <row r="51" ht="13.8" spans="1:29">
      <c r="A51" s="30"/>
      <c r="B51" s="30"/>
      <c r="C51" s="30"/>
      <c r="D51" s="31"/>
      <c r="E51" s="31"/>
      <c r="F51" s="30"/>
      <c r="G51" s="32"/>
      <c r="H51" s="33"/>
      <c r="I51" s="33"/>
      <c r="J51" s="42"/>
      <c r="K51" s="41"/>
      <c r="L51" s="42"/>
      <c r="M51" s="42"/>
      <c r="N51" s="41"/>
      <c r="O51" s="42"/>
      <c r="P51" s="42"/>
      <c r="Q51" s="41"/>
      <c r="R51" s="30"/>
      <c r="S51" s="54"/>
      <c r="T51" s="55"/>
      <c r="U51" s="54"/>
      <c r="V51" s="54"/>
      <c r="W51" s="54"/>
      <c r="X51" s="54"/>
      <c r="Y51" s="54"/>
      <c r="Z51" s="54"/>
      <c r="AA51" s="54"/>
      <c r="AB51" s="54"/>
      <c r="AC51" s="54"/>
    </row>
    <row r="52" ht="13.8" outlineLevel="1" spans="1:29">
      <c r="A52" s="30"/>
      <c r="B52" s="30"/>
      <c r="C52" s="30"/>
      <c r="D52" s="31"/>
      <c r="E52" s="31"/>
      <c r="F52" s="30"/>
      <c r="G52" s="32"/>
      <c r="H52" s="33"/>
      <c r="I52" s="33"/>
      <c r="J52" s="42"/>
      <c r="K52" s="41"/>
      <c r="L52" s="42"/>
      <c r="M52" s="42"/>
      <c r="N52" s="41"/>
      <c r="O52" s="42"/>
      <c r="P52" s="42"/>
      <c r="Q52" s="41"/>
      <c r="R52" s="30"/>
      <c r="S52" s="37"/>
      <c r="T52" s="56"/>
      <c r="U52" s="37"/>
      <c r="V52" s="37"/>
      <c r="W52" s="37"/>
      <c r="X52" s="37"/>
      <c r="Y52" s="37"/>
      <c r="Z52" s="37"/>
      <c r="AA52" s="37"/>
      <c r="AB52" s="37"/>
      <c r="AC52" s="37"/>
    </row>
    <row r="53" ht="13.8" outlineLevel="1" spans="1:29">
      <c r="A53" s="30"/>
      <c r="B53" s="30"/>
      <c r="C53" s="30"/>
      <c r="D53" s="31"/>
      <c r="E53" s="31"/>
      <c r="F53" s="30"/>
      <c r="G53" s="32"/>
      <c r="H53" s="33"/>
      <c r="I53" s="33"/>
      <c r="J53" s="42"/>
      <c r="K53" s="41"/>
      <c r="L53" s="42"/>
      <c r="M53" s="42"/>
      <c r="N53" s="41"/>
      <c r="O53" s="42"/>
      <c r="P53" s="42"/>
      <c r="Q53" s="41"/>
      <c r="R53" s="30"/>
      <c r="S53" s="37"/>
      <c r="T53" s="56"/>
      <c r="U53" s="37"/>
      <c r="V53" s="37"/>
      <c r="W53" s="37"/>
      <c r="X53" s="37"/>
      <c r="Y53" s="37"/>
      <c r="Z53" s="37"/>
      <c r="AA53" s="37"/>
      <c r="AB53" s="37"/>
      <c r="AC53" s="37"/>
    </row>
    <row r="54" ht="64.5" customHeight="1" outlineLevel="1" spans="1:29">
      <c r="A54" s="62"/>
      <c r="B54" s="62"/>
      <c r="C54" s="62"/>
      <c r="D54" s="63"/>
      <c r="E54" s="63"/>
      <c r="F54" s="62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62"/>
      <c r="S54" s="37"/>
      <c r="T54" s="57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62"/>
      <c r="B55" s="62"/>
      <c r="C55" s="62"/>
      <c r="D55" s="63"/>
      <c r="E55" s="63"/>
      <c r="F55" s="62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67"/>
      <c r="S55" s="54"/>
      <c r="T55" s="55"/>
      <c r="U55" s="54"/>
      <c r="V55" s="54"/>
      <c r="W55" s="54"/>
      <c r="X55" s="54"/>
      <c r="Y55" s="54"/>
      <c r="Z55" s="54"/>
      <c r="AA55" s="54"/>
      <c r="AB55" s="54"/>
      <c r="AC55" s="54"/>
    </row>
    <row r="56" ht="64.5" customHeight="1" outlineLevel="1" spans="1:29">
      <c r="A56" s="62"/>
      <c r="B56" s="62"/>
      <c r="C56" s="62"/>
      <c r="D56" s="63"/>
      <c r="E56" s="63"/>
      <c r="F56" s="62"/>
      <c r="G56" s="1"/>
      <c r="H56" s="64"/>
      <c r="I56" s="64"/>
      <c r="J56" s="1"/>
      <c r="K56" s="1"/>
      <c r="L56" s="1"/>
      <c r="M56" s="1"/>
      <c r="N56" s="1"/>
      <c r="O56" s="1"/>
      <c r="P56" s="1"/>
      <c r="Q56" s="1"/>
      <c r="R56" s="67"/>
      <c r="S56" s="37"/>
      <c r="T56" s="56"/>
      <c r="U56" s="37"/>
      <c r="V56" s="37"/>
      <c r="W56" s="37"/>
      <c r="X56" s="37"/>
      <c r="Y56" s="37"/>
      <c r="Z56" s="37"/>
      <c r="AA56" s="37"/>
      <c r="AB56" s="37"/>
      <c r="AC56" s="37"/>
    </row>
    <row r="57" ht="64.5" customHeight="1" spans="1:29">
      <c r="A57" s="62"/>
      <c r="B57" s="62"/>
      <c r="C57" s="62"/>
      <c r="D57" s="65"/>
      <c r="E57" s="65"/>
      <c r="F57" s="66"/>
      <c r="G57" s="1"/>
      <c r="H57" s="64"/>
      <c r="I57" s="64"/>
      <c r="J57" s="1"/>
      <c r="K57" s="1"/>
      <c r="L57" s="1"/>
      <c r="M57" s="1"/>
      <c r="N57" s="1"/>
      <c r="O57" s="1"/>
      <c r="P57" s="1"/>
      <c r="Q57" s="1"/>
      <c r="R57" s="66"/>
      <c r="S57" s="37"/>
      <c r="T57" s="57"/>
      <c r="U57" s="37"/>
      <c r="V57" s="37"/>
      <c r="W57" s="37"/>
      <c r="X57" s="37"/>
      <c r="Y57" s="37"/>
      <c r="Z57" s="37"/>
      <c r="AA57" s="37"/>
      <c r="AB57" s="37"/>
      <c r="AC57" s="37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37"/>
      <c r="C228" s="38"/>
      <c r="D228" s="39"/>
      <c r="E228" s="39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37"/>
      <c r="C229" s="38"/>
      <c r="D229" s="39"/>
      <c r="E229" s="39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2.75" customHeight="1" spans="1:29">
      <c r="A252" s="37"/>
      <c r="B252" s="43"/>
      <c r="C252" s="58"/>
      <c r="D252" s="59"/>
      <c r="E252" s="59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2.75" customHeight="1" spans="1:29">
      <c r="A253" s="37"/>
      <c r="B253" s="43"/>
      <c r="C253" s="58"/>
      <c r="D253" s="59"/>
      <c r="E253" s="59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7:H57 G11:G56 H2:H3 L11:L57 M2:M3 O11:O5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24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58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COUNTA(B11:B958)-COUNTIF($N11:$N958,"Skip")</f>
        <v>32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COUNTIF($G11:$G958,C5)</f>
        <v>32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COUNTIF($L11:$L958,C5)</f>
        <v>32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COUNTIF($O11:$O958,C5)</f>
        <v>32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118.8" spans="1:29">
      <c r="A11" s="30" t="s">
        <v>57</v>
      </c>
      <c r="B11" s="30" t="s">
        <v>1149</v>
      </c>
      <c r="C11" s="30" t="s">
        <v>1150</v>
      </c>
      <c r="D11" s="31" t="s">
        <v>1151</v>
      </c>
      <c r="E11" s="31" t="s">
        <v>1152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4</v>
      </c>
      <c r="L11" s="42" t="s">
        <v>209</v>
      </c>
      <c r="M11" s="40">
        <v>45993</v>
      </c>
      <c r="N11" s="41" t="s">
        <v>4</v>
      </c>
      <c r="O11" s="42" t="s">
        <v>209</v>
      </c>
      <c r="P11" s="40">
        <v>45995</v>
      </c>
      <c r="Q11" s="41" t="s">
        <v>4</v>
      </c>
      <c r="R11" s="4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118.8" spans="1:29">
      <c r="A12" s="30" t="s">
        <v>57</v>
      </c>
      <c r="B12" s="30" t="s">
        <v>1153</v>
      </c>
      <c r="C12" s="30" t="s">
        <v>1154</v>
      </c>
      <c r="D12" s="31" t="s">
        <v>1155</v>
      </c>
      <c r="E12" s="31" t="s">
        <v>1156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4</v>
      </c>
      <c r="L12" s="42" t="s">
        <v>209</v>
      </c>
      <c r="M12" s="40">
        <v>45993</v>
      </c>
      <c r="N12" s="41" t="s">
        <v>4</v>
      </c>
      <c r="O12" s="42" t="s">
        <v>209</v>
      </c>
      <c r="P12" s="40">
        <v>45995</v>
      </c>
      <c r="Q12" s="41" t="s">
        <v>4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66" spans="1:29">
      <c r="A13" s="30" t="s">
        <v>57</v>
      </c>
      <c r="B13" s="30" t="s">
        <v>1157</v>
      </c>
      <c r="C13" s="30" t="s">
        <v>1158</v>
      </c>
      <c r="D13" s="31" t="s">
        <v>1159</v>
      </c>
      <c r="E13" s="31" t="s">
        <v>1160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4</v>
      </c>
      <c r="L13" s="42" t="s">
        <v>209</v>
      </c>
      <c r="M13" s="40">
        <v>45993</v>
      </c>
      <c r="N13" s="41" t="s">
        <v>4</v>
      </c>
      <c r="O13" s="42" t="s">
        <v>209</v>
      </c>
      <c r="P13" s="40">
        <v>45995</v>
      </c>
      <c r="Q13" s="41" t="s">
        <v>4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66" spans="1:29">
      <c r="A14" s="30" t="s">
        <v>57</v>
      </c>
      <c r="B14" s="30" t="s">
        <v>1161</v>
      </c>
      <c r="C14" s="30" t="s">
        <v>1162</v>
      </c>
      <c r="D14" s="31" t="s">
        <v>1163</v>
      </c>
      <c r="E14" s="31" t="s">
        <v>1164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4</v>
      </c>
      <c r="L14" s="42" t="s">
        <v>209</v>
      </c>
      <c r="M14" s="40">
        <v>45993</v>
      </c>
      <c r="N14" s="41" t="s">
        <v>4</v>
      </c>
      <c r="O14" s="42" t="s">
        <v>209</v>
      </c>
      <c r="P14" s="40">
        <v>45995</v>
      </c>
      <c r="Q14" s="41" t="s">
        <v>4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66" spans="1:29">
      <c r="A15" s="30" t="s">
        <v>57</v>
      </c>
      <c r="B15" s="30" t="s">
        <v>1165</v>
      </c>
      <c r="C15" s="30" t="s">
        <v>1166</v>
      </c>
      <c r="D15" s="31" t="s">
        <v>1167</v>
      </c>
      <c r="E15" s="31" t="s">
        <v>1168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4</v>
      </c>
      <c r="L15" s="42" t="s">
        <v>209</v>
      </c>
      <c r="M15" s="40">
        <v>45993</v>
      </c>
      <c r="N15" s="41" t="s">
        <v>4</v>
      </c>
      <c r="O15" s="42" t="s">
        <v>209</v>
      </c>
      <c r="P15" s="40">
        <v>45995</v>
      </c>
      <c r="Q15" s="41" t="s">
        <v>4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66" spans="1:29">
      <c r="A16" s="30" t="s">
        <v>57</v>
      </c>
      <c r="B16" s="30" t="s">
        <v>1169</v>
      </c>
      <c r="C16" s="30" t="s">
        <v>1170</v>
      </c>
      <c r="D16" s="31" t="s">
        <v>1171</v>
      </c>
      <c r="E16" s="31" t="s">
        <v>1172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4</v>
      </c>
      <c r="L16" s="42" t="s">
        <v>209</v>
      </c>
      <c r="M16" s="40">
        <v>45993</v>
      </c>
      <c r="N16" s="41" t="s">
        <v>4</v>
      </c>
      <c r="O16" s="42" t="s">
        <v>209</v>
      </c>
      <c r="P16" s="40">
        <v>45995</v>
      </c>
      <c r="Q16" s="41" t="s">
        <v>4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66" spans="1:29">
      <c r="A17" s="30" t="s">
        <v>57</v>
      </c>
      <c r="B17" s="30" t="s">
        <v>1173</v>
      </c>
      <c r="C17" s="30" t="s">
        <v>1174</v>
      </c>
      <c r="D17" s="31" t="s">
        <v>1175</v>
      </c>
      <c r="E17" s="31" t="s">
        <v>1176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4</v>
      </c>
      <c r="L17" s="42" t="s">
        <v>209</v>
      </c>
      <c r="M17" s="40">
        <v>45993</v>
      </c>
      <c r="N17" s="41" t="s">
        <v>4</v>
      </c>
      <c r="O17" s="42" t="s">
        <v>209</v>
      </c>
      <c r="P17" s="40">
        <v>45995</v>
      </c>
      <c r="Q17" s="41" t="s">
        <v>4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66" spans="1:29">
      <c r="A18" s="30" t="s">
        <v>57</v>
      </c>
      <c r="B18" s="30" t="s">
        <v>1177</v>
      </c>
      <c r="C18" s="30" t="s">
        <v>1178</v>
      </c>
      <c r="D18" s="31" t="s">
        <v>1179</v>
      </c>
      <c r="E18" s="31" t="s">
        <v>1180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4</v>
      </c>
      <c r="L18" s="42" t="s">
        <v>209</v>
      </c>
      <c r="M18" s="40">
        <v>45993</v>
      </c>
      <c r="N18" s="41" t="s">
        <v>4</v>
      </c>
      <c r="O18" s="42" t="s">
        <v>209</v>
      </c>
      <c r="P18" s="40">
        <v>45995</v>
      </c>
      <c r="Q18" s="41" t="s">
        <v>4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66" spans="1:29">
      <c r="A19" s="30" t="s">
        <v>57</v>
      </c>
      <c r="B19" s="30" t="s">
        <v>1181</v>
      </c>
      <c r="C19" s="30" t="s">
        <v>1182</v>
      </c>
      <c r="D19" s="31" t="s">
        <v>1183</v>
      </c>
      <c r="E19" s="31" t="s">
        <v>1184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4</v>
      </c>
      <c r="L19" s="42" t="s">
        <v>209</v>
      </c>
      <c r="M19" s="40">
        <v>45993</v>
      </c>
      <c r="N19" s="41" t="s">
        <v>4</v>
      </c>
      <c r="O19" s="42" t="s">
        <v>209</v>
      </c>
      <c r="P19" s="40">
        <v>45995</v>
      </c>
      <c r="Q19" s="41" t="s">
        <v>4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66" spans="1:29">
      <c r="A20" s="30" t="s">
        <v>57</v>
      </c>
      <c r="B20" s="30" t="s">
        <v>1185</v>
      </c>
      <c r="C20" s="30" t="s">
        <v>1186</v>
      </c>
      <c r="D20" s="31" t="s">
        <v>1187</v>
      </c>
      <c r="E20" s="31" t="s">
        <v>1188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4</v>
      </c>
      <c r="L20" s="42" t="s">
        <v>209</v>
      </c>
      <c r="M20" s="40">
        <v>45993</v>
      </c>
      <c r="N20" s="41" t="s">
        <v>4</v>
      </c>
      <c r="O20" s="42" t="s">
        <v>209</v>
      </c>
      <c r="P20" s="40">
        <v>45995</v>
      </c>
      <c r="Q20" s="41" t="s">
        <v>4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66" spans="1:29">
      <c r="A21" s="30" t="s">
        <v>57</v>
      </c>
      <c r="B21" s="30" t="s">
        <v>1189</v>
      </c>
      <c r="C21" s="30" t="s">
        <v>1190</v>
      </c>
      <c r="D21" s="31" t="s">
        <v>1191</v>
      </c>
      <c r="E21" s="31" t="s">
        <v>1192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4</v>
      </c>
      <c r="L21" s="42" t="s">
        <v>209</v>
      </c>
      <c r="M21" s="40">
        <v>45993</v>
      </c>
      <c r="N21" s="41" t="s">
        <v>4</v>
      </c>
      <c r="O21" s="42" t="s">
        <v>209</v>
      </c>
      <c r="P21" s="40">
        <v>45995</v>
      </c>
      <c r="Q21" s="41" t="s">
        <v>4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92.4" spans="1:29">
      <c r="A22" s="30" t="s">
        <v>60</v>
      </c>
      <c r="B22" s="30" t="s">
        <v>1193</v>
      </c>
      <c r="C22" s="30" t="s">
        <v>1194</v>
      </c>
      <c r="D22" s="31" t="s">
        <v>1195</v>
      </c>
      <c r="E22" s="31" t="s">
        <v>1196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4</v>
      </c>
      <c r="L22" s="42" t="s">
        <v>209</v>
      </c>
      <c r="M22" s="40">
        <v>45993</v>
      </c>
      <c r="N22" s="41" t="s">
        <v>4</v>
      </c>
      <c r="O22" s="42" t="s">
        <v>209</v>
      </c>
      <c r="P22" s="40">
        <v>45995</v>
      </c>
      <c r="Q22" s="41" t="s">
        <v>4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39.6" spans="1:29">
      <c r="A23" s="30" t="s">
        <v>60</v>
      </c>
      <c r="B23" s="30" t="s">
        <v>1197</v>
      </c>
      <c r="C23" s="30" t="s">
        <v>1198</v>
      </c>
      <c r="D23" s="31" t="s">
        <v>1199</v>
      </c>
      <c r="E23" s="31" t="s">
        <v>1200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4</v>
      </c>
      <c r="L23" s="42" t="s">
        <v>209</v>
      </c>
      <c r="M23" s="40">
        <v>45993</v>
      </c>
      <c r="N23" s="41" t="s">
        <v>4</v>
      </c>
      <c r="O23" s="42" t="s">
        <v>209</v>
      </c>
      <c r="P23" s="40">
        <v>45995</v>
      </c>
      <c r="Q23" s="41" t="s">
        <v>4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39.6" spans="1:29">
      <c r="A24" s="30" t="s">
        <v>60</v>
      </c>
      <c r="B24" s="30" t="s">
        <v>1201</v>
      </c>
      <c r="C24" s="30" t="s">
        <v>1202</v>
      </c>
      <c r="D24" s="31" t="s">
        <v>1203</v>
      </c>
      <c r="E24" s="31" t="s">
        <v>1204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4</v>
      </c>
      <c r="L24" s="42" t="s">
        <v>209</v>
      </c>
      <c r="M24" s="40">
        <v>45993</v>
      </c>
      <c r="N24" s="41" t="s">
        <v>4</v>
      </c>
      <c r="O24" s="42" t="s">
        <v>209</v>
      </c>
      <c r="P24" s="40">
        <v>45995</v>
      </c>
      <c r="Q24" s="41" t="s">
        <v>4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79.2" spans="1:29">
      <c r="A25" s="30" t="s">
        <v>60</v>
      </c>
      <c r="B25" s="30" t="s">
        <v>1205</v>
      </c>
      <c r="C25" s="30" t="s">
        <v>1206</v>
      </c>
      <c r="D25" s="31" t="s">
        <v>1207</v>
      </c>
      <c r="E25" s="31" t="s">
        <v>1204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4</v>
      </c>
      <c r="L25" s="42" t="s">
        <v>209</v>
      </c>
      <c r="M25" s="40">
        <v>45993</v>
      </c>
      <c r="N25" s="41" t="s">
        <v>4</v>
      </c>
      <c r="O25" s="42" t="s">
        <v>209</v>
      </c>
      <c r="P25" s="40">
        <v>45995</v>
      </c>
      <c r="Q25" s="41" t="s">
        <v>4</v>
      </c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79.2" outlineLevel="1" spans="1:29">
      <c r="A26" s="30" t="s">
        <v>60</v>
      </c>
      <c r="B26" s="30" t="s">
        <v>1208</v>
      </c>
      <c r="C26" s="30" t="s">
        <v>1209</v>
      </c>
      <c r="D26" s="31" t="s">
        <v>1210</v>
      </c>
      <c r="E26" s="31" t="s">
        <v>1211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4</v>
      </c>
      <c r="L26" s="42" t="s">
        <v>209</v>
      </c>
      <c r="M26" s="40">
        <v>45993</v>
      </c>
      <c r="N26" s="41" t="s">
        <v>4</v>
      </c>
      <c r="O26" s="42" t="s">
        <v>209</v>
      </c>
      <c r="P26" s="40">
        <v>45995</v>
      </c>
      <c r="Q26" s="41" t="s">
        <v>4</v>
      </c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66" outlineLevel="1" spans="1:29">
      <c r="A27" s="30" t="s">
        <v>59</v>
      </c>
      <c r="B27" s="30" t="s">
        <v>1212</v>
      </c>
      <c r="C27" s="30" t="s">
        <v>1213</v>
      </c>
      <c r="D27" s="31" t="s">
        <v>1214</v>
      </c>
      <c r="E27" s="31" t="s">
        <v>1215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4</v>
      </c>
      <c r="L27" s="42" t="s">
        <v>209</v>
      </c>
      <c r="M27" s="40">
        <v>45993</v>
      </c>
      <c r="N27" s="41" t="s">
        <v>4</v>
      </c>
      <c r="O27" s="42" t="s">
        <v>209</v>
      </c>
      <c r="P27" s="40">
        <v>45995</v>
      </c>
      <c r="Q27" s="41" t="s">
        <v>4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13.8" outlineLevel="1" spans="1:29">
      <c r="A28" s="30" t="s">
        <v>59</v>
      </c>
      <c r="B28" s="30" t="s">
        <v>1216</v>
      </c>
      <c r="C28" s="30" t="s">
        <v>1217</v>
      </c>
      <c r="D28" s="31" t="s">
        <v>254</v>
      </c>
      <c r="E28" s="31" t="s">
        <v>1218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4</v>
      </c>
      <c r="L28" s="42" t="s">
        <v>209</v>
      </c>
      <c r="M28" s="40">
        <v>45993</v>
      </c>
      <c r="N28" s="41" t="s">
        <v>4</v>
      </c>
      <c r="O28" s="42" t="s">
        <v>209</v>
      </c>
      <c r="P28" s="40">
        <v>45995</v>
      </c>
      <c r="Q28" s="41" t="s">
        <v>4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52.8" outlineLevel="1" spans="1:29">
      <c r="A29" s="30" t="s">
        <v>59</v>
      </c>
      <c r="B29" s="30" t="s">
        <v>1219</v>
      </c>
      <c r="C29" s="30" t="s">
        <v>1220</v>
      </c>
      <c r="D29" s="31" t="s">
        <v>1221</v>
      </c>
      <c r="E29" s="31" t="s">
        <v>1218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4</v>
      </c>
      <c r="L29" s="42" t="s">
        <v>209</v>
      </c>
      <c r="M29" s="40">
        <v>45993</v>
      </c>
      <c r="N29" s="41" t="s">
        <v>4</v>
      </c>
      <c r="O29" s="42" t="s">
        <v>209</v>
      </c>
      <c r="P29" s="40">
        <v>45995</v>
      </c>
      <c r="Q29" s="41" t="s">
        <v>4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79.2" outlineLevel="1" spans="1:29">
      <c r="A30" s="30" t="s">
        <v>59</v>
      </c>
      <c r="B30" s="30" t="s">
        <v>1222</v>
      </c>
      <c r="C30" s="30" t="s">
        <v>1223</v>
      </c>
      <c r="D30" s="31" t="s">
        <v>1224</v>
      </c>
      <c r="E30" s="31" t="s">
        <v>1225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4</v>
      </c>
      <c r="L30" s="42" t="s">
        <v>209</v>
      </c>
      <c r="M30" s="40">
        <v>45993</v>
      </c>
      <c r="N30" s="41" t="s">
        <v>4</v>
      </c>
      <c r="O30" s="42" t="s">
        <v>209</v>
      </c>
      <c r="P30" s="40">
        <v>45995</v>
      </c>
      <c r="Q30" s="41" t="s">
        <v>4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39.6" outlineLevel="1" spans="1:29">
      <c r="A31" s="30" t="s">
        <v>105</v>
      </c>
      <c r="B31" s="30" t="s">
        <v>1226</v>
      </c>
      <c r="C31" s="30" t="s">
        <v>1227</v>
      </c>
      <c r="D31" s="31" t="s">
        <v>1228</v>
      </c>
      <c r="E31" s="31" t="s">
        <v>1229</v>
      </c>
      <c r="F31" s="30" t="s">
        <v>237</v>
      </c>
      <c r="G31" s="32" t="s">
        <v>209</v>
      </c>
      <c r="H31" s="33"/>
      <c r="I31" s="33"/>
      <c r="J31" s="40">
        <v>45991</v>
      </c>
      <c r="K31" s="41" t="s">
        <v>4</v>
      </c>
      <c r="L31" s="42" t="s">
        <v>209</v>
      </c>
      <c r="M31" s="40">
        <v>45993</v>
      </c>
      <c r="N31" s="41" t="s">
        <v>4</v>
      </c>
      <c r="O31" s="42" t="s">
        <v>209</v>
      </c>
      <c r="P31" s="40">
        <v>45995</v>
      </c>
      <c r="Q31" s="41" t="s">
        <v>4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39.6" outlineLevel="1" spans="1:29">
      <c r="A32" s="30" t="s">
        <v>105</v>
      </c>
      <c r="B32" s="30" t="s">
        <v>1230</v>
      </c>
      <c r="C32" s="30" t="s">
        <v>1231</v>
      </c>
      <c r="D32" s="31" t="s">
        <v>1232</v>
      </c>
      <c r="E32" s="31" t="s">
        <v>1233</v>
      </c>
      <c r="F32" s="30" t="s">
        <v>237</v>
      </c>
      <c r="G32" s="32" t="s">
        <v>209</v>
      </c>
      <c r="H32" s="33"/>
      <c r="I32" s="33"/>
      <c r="J32" s="40">
        <v>45991</v>
      </c>
      <c r="K32" s="41" t="s">
        <v>4</v>
      </c>
      <c r="L32" s="42" t="s">
        <v>209</v>
      </c>
      <c r="M32" s="40">
        <v>45993</v>
      </c>
      <c r="N32" s="41" t="s">
        <v>4</v>
      </c>
      <c r="O32" s="42" t="s">
        <v>209</v>
      </c>
      <c r="P32" s="40">
        <v>45995</v>
      </c>
      <c r="Q32" s="41" t="s">
        <v>4</v>
      </c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39.6" outlineLevel="1" spans="1:29">
      <c r="A33" s="30" t="s">
        <v>105</v>
      </c>
      <c r="B33" s="30" t="s">
        <v>1234</v>
      </c>
      <c r="C33" s="30" t="s">
        <v>1235</v>
      </c>
      <c r="D33" s="31" t="s">
        <v>1236</v>
      </c>
      <c r="E33" s="31" t="s">
        <v>1237</v>
      </c>
      <c r="F33" s="30" t="s">
        <v>237</v>
      </c>
      <c r="G33" s="32" t="s">
        <v>209</v>
      </c>
      <c r="H33" s="33"/>
      <c r="I33" s="33"/>
      <c r="J33" s="40">
        <v>45991</v>
      </c>
      <c r="K33" s="41" t="s">
        <v>4</v>
      </c>
      <c r="L33" s="42" t="s">
        <v>209</v>
      </c>
      <c r="M33" s="40">
        <v>45993</v>
      </c>
      <c r="N33" s="41" t="s">
        <v>4</v>
      </c>
      <c r="O33" s="42" t="s">
        <v>209</v>
      </c>
      <c r="P33" s="40">
        <v>45995</v>
      </c>
      <c r="Q33" s="41" t="s">
        <v>4</v>
      </c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52.8" outlineLevel="1" spans="1:29">
      <c r="A34" s="30" t="s">
        <v>105</v>
      </c>
      <c r="B34" s="30" t="s">
        <v>1238</v>
      </c>
      <c r="C34" s="30" t="s">
        <v>1239</v>
      </c>
      <c r="D34" s="31" t="s">
        <v>1240</v>
      </c>
      <c r="E34" s="31" t="s">
        <v>1241</v>
      </c>
      <c r="F34" s="30" t="s">
        <v>237</v>
      </c>
      <c r="G34" s="32" t="s">
        <v>209</v>
      </c>
      <c r="H34" s="33"/>
      <c r="I34" s="33"/>
      <c r="J34" s="40">
        <v>45991</v>
      </c>
      <c r="K34" s="41" t="s">
        <v>4</v>
      </c>
      <c r="L34" s="42" t="s">
        <v>209</v>
      </c>
      <c r="M34" s="40">
        <v>45993</v>
      </c>
      <c r="N34" s="41" t="s">
        <v>4</v>
      </c>
      <c r="O34" s="42" t="s">
        <v>209</v>
      </c>
      <c r="P34" s="40">
        <v>45995</v>
      </c>
      <c r="Q34" s="41" t="s">
        <v>4</v>
      </c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39.6" outlineLevel="1" spans="1:29">
      <c r="A35" s="30" t="s">
        <v>105</v>
      </c>
      <c r="B35" s="30" t="s">
        <v>1242</v>
      </c>
      <c r="C35" s="30" t="s">
        <v>1243</v>
      </c>
      <c r="D35" s="31" t="s">
        <v>1244</v>
      </c>
      <c r="E35" s="31" t="s">
        <v>1245</v>
      </c>
      <c r="F35" s="30" t="s">
        <v>237</v>
      </c>
      <c r="G35" s="32" t="s">
        <v>209</v>
      </c>
      <c r="H35" s="33"/>
      <c r="I35" s="33"/>
      <c r="J35" s="40">
        <v>45991</v>
      </c>
      <c r="K35" s="41" t="s">
        <v>4</v>
      </c>
      <c r="L35" s="42" t="s">
        <v>209</v>
      </c>
      <c r="M35" s="40">
        <v>45993</v>
      </c>
      <c r="N35" s="41" t="s">
        <v>4</v>
      </c>
      <c r="O35" s="42" t="s">
        <v>209</v>
      </c>
      <c r="P35" s="40">
        <v>45995</v>
      </c>
      <c r="Q35" s="41" t="s">
        <v>4</v>
      </c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52.8" outlineLevel="1" spans="1:29">
      <c r="A36" s="30" t="s">
        <v>105</v>
      </c>
      <c r="B36" s="30" t="s">
        <v>1246</v>
      </c>
      <c r="C36" s="30" t="s">
        <v>1247</v>
      </c>
      <c r="D36" s="31" t="s">
        <v>1228</v>
      </c>
      <c r="E36" s="31" t="s">
        <v>1248</v>
      </c>
      <c r="F36" s="30" t="s">
        <v>237</v>
      </c>
      <c r="G36" s="32" t="s">
        <v>209</v>
      </c>
      <c r="H36" s="33"/>
      <c r="I36" s="33"/>
      <c r="J36" s="40">
        <v>45991</v>
      </c>
      <c r="K36" s="41" t="s">
        <v>4</v>
      </c>
      <c r="L36" s="42" t="s">
        <v>209</v>
      </c>
      <c r="M36" s="40">
        <v>45993</v>
      </c>
      <c r="N36" s="41" t="s">
        <v>4</v>
      </c>
      <c r="O36" s="42" t="s">
        <v>209</v>
      </c>
      <c r="P36" s="40">
        <v>45995</v>
      </c>
      <c r="Q36" s="41" t="s">
        <v>4</v>
      </c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52.8" outlineLevel="1" spans="1:29">
      <c r="A37" s="30" t="s">
        <v>106</v>
      </c>
      <c r="B37" s="30" t="s">
        <v>1249</v>
      </c>
      <c r="C37" s="30" t="s">
        <v>1250</v>
      </c>
      <c r="D37" s="31" t="s">
        <v>1251</v>
      </c>
      <c r="E37" s="31" t="s">
        <v>1252</v>
      </c>
      <c r="F37" s="30" t="s">
        <v>237</v>
      </c>
      <c r="G37" s="32" t="s">
        <v>209</v>
      </c>
      <c r="H37" s="33"/>
      <c r="I37" s="33"/>
      <c r="J37" s="40">
        <v>45991</v>
      </c>
      <c r="K37" s="41" t="s">
        <v>4</v>
      </c>
      <c r="L37" s="42" t="s">
        <v>209</v>
      </c>
      <c r="M37" s="40">
        <v>45993</v>
      </c>
      <c r="N37" s="41" t="s">
        <v>4</v>
      </c>
      <c r="O37" s="42" t="s">
        <v>209</v>
      </c>
      <c r="P37" s="40">
        <v>45995</v>
      </c>
      <c r="Q37" s="41" t="s">
        <v>4</v>
      </c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52.8" outlineLevel="1" spans="1:29">
      <c r="A38" s="30" t="s">
        <v>106</v>
      </c>
      <c r="B38" s="30" t="s">
        <v>1253</v>
      </c>
      <c r="C38" s="30" t="s">
        <v>1254</v>
      </c>
      <c r="D38" s="31" t="s">
        <v>1255</v>
      </c>
      <c r="E38" s="31" t="s">
        <v>1256</v>
      </c>
      <c r="F38" s="30" t="s">
        <v>237</v>
      </c>
      <c r="G38" s="32" t="s">
        <v>209</v>
      </c>
      <c r="H38" s="33"/>
      <c r="I38" s="33"/>
      <c r="J38" s="40">
        <v>45991</v>
      </c>
      <c r="K38" s="41" t="s">
        <v>4</v>
      </c>
      <c r="L38" s="42" t="s">
        <v>209</v>
      </c>
      <c r="M38" s="40">
        <v>45993</v>
      </c>
      <c r="N38" s="41" t="s">
        <v>4</v>
      </c>
      <c r="O38" s="42" t="s">
        <v>209</v>
      </c>
      <c r="P38" s="40">
        <v>45995</v>
      </c>
      <c r="Q38" s="41" t="s">
        <v>4</v>
      </c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52.8" outlineLevel="1" spans="1:29">
      <c r="A39" s="30" t="s">
        <v>106</v>
      </c>
      <c r="B39" s="30" t="s">
        <v>1257</v>
      </c>
      <c r="C39" s="30" t="s">
        <v>1258</v>
      </c>
      <c r="D39" s="31" t="s">
        <v>1259</v>
      </c>
      <c r="E39" s="31" t="s">
        <v>1256</v>
      </c>
      <c r="F39" s="30" t="s">
        <v>237</v>
      </c>
      <c r="G39" s="32" t="s">
        <v>209</v>
      </c>
      <c r="H39" s="33"/>
      <c r="I39" s="33"/>
      <c r="J39" s="40">
        <v>45991</v>
      </c>
      <c r="K39" s="41" t="s">
        <v>4</v>
      </c>
      <c r="L39" s="42" t="s">
        <v>209</v>
      </c>
      <c r="M39" s="40">
        <v>45993</v>
      </c>
      <c r="N39" s="41" t="s">
        <v>4</v>
      </c>
      <c r="O39" s="42" t="s">
        <v>209</v>
      </c>
      <c r="P39" s="40">
        <v>45995</v>
      </c>
      <c r="Q39" s="41" t="s">
        <v>4</v>
      </c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52.8" outlineLevel="1" spans="1:29">
      <c r="A40" s="30" t="s">
        <v>106</v>
      </c>
      <c r="B40" s="30" t="s">
        <v>1260</v>
      </c>
      <c r="C40" s="30" t="s">
        <v>1261</v>
      </c>
      <c r="D40" s="31" t="s">
        <v>1262</v>
      </c>
      <c r="E40" s="31" t="s">
        <v>1263</v>
      </c>
      <c r="F40" s="30" t="s">
        <v>237</v>
      </c>
      <c r="G40" s="32" t="s">
        <v>209</v>
      </c>
      <c r="H40" s="33"/>
      <c r="I40" s="33"/>
      <c r="J40" s="40">
        <v>45991</v>
      </c>
      <c r="K40" s="41" t="s">
        <v>4</v>
      </c>
      <c r="L40" s="42" t="s">
        <v>209</v>
      </c>
      <c r="M40" s="40">
        <v>45993</v>
      </c>
      <c r="N40" s="41" t="s">
        <v>4</v>
      </c>
      <c r="O40" s="42" t="s">
        <v>209</v>
      </c>
      <c r="P40" s="40">
        <v>45995</v>
      </c>
      <c r="Q40" s="41" t="s">
        <v>4</v>
      </c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52.8" outlineLevel="1" spans="1:29">
      <c r="A41" s="30" t="s">
        <v>106</v>
      </c>
      <c r="B41" s="30" t="s">
        <v>1264</v>
      </c>
      <c r="C41" s="30" t="s">
        <v>1265</v>
      </c>
      <c r="D41" s="31" t="s">
        <v>1251</v>
      </c>
      <c r="E41" s="31" t="s">
        <v>1266</v>
      </c>
      <c r="F41" s="30" t="s">
        <v>237</v>
      </c>
      <c r="G41" s="32" t="s">
        <v>209</v>
      </c>
      <c r="H41" s="33"/>
      <c r="I41" s="33"/>
      <c r="J41" s="40">
        <v>45991</v>
      </c>
      <c r="K41" s="41" t="s">
        <v>4</v>
      </c>
      <c r="L41" s="42" t="s">
        <v>209</v>
      </c>
      <c r="M41" s="40">
        <v>45993</v>
      </c>
      <c r="N41" s="41" t="s">
        <v>4</v>
      </c>
      <c r="O41" s="42" t="s">
        <v>209</v>
      </c>
      <c r="P41" s="40">
        <v>45995</v>
      </c>
      <c r="Q41" s="41" t="s">
        <v>4</v>
      </c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52.8" outlineLevel="1" spans="1:29">
      <c r="A42" s="30" t="s">
        <v>106</v>
      </c>
      <c r="B42" s="30" t="s">
        <v>1267</v>
      </c>
      <c r="C42" s="30" t="s">
        <v>1268</v>
      </c>
      <c r="D42" s="31" t="s">
        <v>1269</v>
      </c>
      <c r="E42" s="31" t="s">
        <v>1266</v>
      </c>
      <c r="F42" s="30" t="s">
        <v>237</v>
      </c>
      <c r="G42" s="32" t="s">
        <v>209</v>
      </c>
      <c r="H42" s="33"/>
      <c r="I42" s="33"/>
      <c r="J42" s="40">
        <v>45991</v>
      </c>
      <c r="K42" s="41" t="s">
        <v>4</v>
      </c>
      <c r="L42" s="42" t="s">
        <v>209</v>
      </c>
      <c r="M42" s="40">
        <v>45993</v>
      </c>
      <c r="N42" s="41" t="s">
        <v>4</v>
      </c>
      <c r="O42" s="42" t="s">
        <v>209</v>
      </c>
      <c r="P42" s="40">
        <v>45995</v>
      </c>
      <c r="Q42" s="41" t="s">
        <v>4</v>
      </c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8" outlineLevel="1" spans="1:29">
      <c r="A43" s="30"/>
      <c r="B43" s="30"/>
      <c r="C43" s="30"/>
      <c r="D43" s="31"/>
      <c r="E43" s="31"/>
      <c r="F43" s="30"/>
      <c r="G43" s="32"/>
      <c r="H43" s="33"/>
      <c r="I43" s="33"/>
      <c r="J43" s="42"/>
      <c r="K43" s="41"/>
      <c r="L43" s="42"/>
      <c r="M43" s="42"/>
      <c r="N43" s="41"/>
      <c r="O43" s="42"/>
      <c r="P43" s="42"/>
      <c r="Q43" s="41"/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8" outlineLevel="1" spans="1:29">
      <c r="A44" s="30"/>
      <c r="B44" s="30"/>
      <c r="C44" s="30"/>
      <c r="D44" s="31"/>
      <c r="E44" s="31"/>
      <c r="F44" s="30"/>
      <c r="G44" s="32"/>
      <c r="H44" s="33"/>
      <c r="I44" s="33"/>
      <c r="J44" s="42"/>
      <c r="K44" s="41"/>
      <c r="L44" s="42"/>
      <c r="M44" s="42"/>
      <c r="N44" s="41"/>
      <c r="O44" s="42"/>
      <c r="P44" s="42"/>
      <c r="Q44" s="41"/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8" outlineLevel="1" spans="1:29">
      <c r="A45" s="30"/>
      <c r="B45" s="30"/>
      <c r="C45" s="30"/>
      <c r="D45" s="31"/>
      <c r="E45" s="31"/>
      <c r="F45" s="30"/>
      <c r="G45" s="32"/>
      <c r="H45" s="33"/>
      <c r="I45" s="33"/>
      <c r="J45" s="42"/>
      <c r="K45" s="41"/>
      <c r="L45" s="42"/>
      <c r="M45" s="42"/>
      <c r="N45" s="41"/>
      <c r="O45" s="42"/>
      <c r="P45" s="42"/>
      <c r="Q45" s="41"/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8" outlineLevel="1" spans="1:29">
      <c r="A46" s="30"/>
      <c r="B46" s="30"/>
      <c r="C46" s="30"/>
      <c r="D46" s="31"/>
      <c r="E46" s="31"/>
      <c r="F46" s="30"/>
      <c r="G46" s="32"/>
      <c r="H46" s="33"/>
      <c r="I46" s="33"/>
      <c r="J46" s="42"/>
      <c r="K46" s="41"/>
      <c r="L46" s="42"/>
      <c r="M46" s="42"/>
      <c r="N46" s="41"/>
      <c r="O46" s="42"/>
      <c r="P46" s="42"/>
      <c r="Q46" s="41"/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8" spans="1:29">
      <c r="A47" s="30"/>
      <c r="B47" s="30"/>
      <c r="C47" s="30"/>
      <c r="D47" s="31"/>
      <c r="E47" s="31"/>
      <c r="F47" s="30"/>
      <c r="G47" s="32"/>
      <c r="H47" s="33"/>
      <c r="I47" s="33"/>
      <c r="J47" s="42"/>
      <c r="K47" s="41"/>
      <c r="L47" s="42"/>
      <c r="M47" s="42"/>
      <c r="N47" s="41"/>
      <c r="O47" s="42"/>
      <c r="P47" s="42"/>
      <c r="Q47" s="41"/>
      <c r="R47" s="30"/>
      <c r="S47" s="47"/>
      <c r="T47" s="51"/>
      <c r="U47" s="47"/>
      <c r="V47" s="47"/>
      <c r="W47" s="47"/>
      <c r="X47" s="47"/>
      <c r="Y47" s="47"/>
      <c r="Z47" s="47"/>
      <c r="AA47" s="47"/>
      <c r="AB47" s="47"/>
      <c r="AC47" s="47"/>
    </row>
    <row r="48" ht="13.8" spans="1:29">
      <c r="A48" s="30"/>
      <c r="B48" s="30"/>
      <c r="C48" s="30"/>
      <c r="D48" s="31"/>
      <c r="E48" s="31"/>
      <c r="F48" s="30"/>
      <c r="G48" s="32"/>
      <c r="H48" s="33"/>
      <c r="I48" s="33"/>
      <c r="J48" s="42"/>
      <c r="K48" s="41"/>
      <c r="L48" s="42"/>
      <c r="M48" s="42"/>
      <c r="N48" s="41"/>
      <c r="O48" s="42"/>
      <c r="P48" s="42"/>
      <c r="Q48" s="41"/>
      <c r="R48" s="30"/>
      <c r="S48" s="54"/>
      <c r="T48" s="55"/>
      <c r="U48" s="54"/>
      <c r="V48" s="54"/>
      <c r="W48" s="54"/>
      <c r="X48" s="54"/>
      <c r="Y48" s="54"/>
      <c r="Z48" s="54"/>
      <c r="AA48" s="54"/>
      <c r="AB48" s="54"/>
      <c r="AC48" s="54"/>
    </row>
    <row r="49" ht="13.8" spans="1:29">
      <c r="A49" s="30"/>
      <c r="B49" s="30"/>
      <c r="C49" s="30"/>
      <c r="D49" s="31"/>
      <c r="E49" s="31"/>
      <c r="F49" s="30"/>
      <c r="G49" s="32"/>
      <c r="H49" s="33"/>
      <c r="I49" s="33"/>
      <c r="J49" s="42"/>
      <c r="K49" s="41"/>
      <c r="L49" s="42"/>
      <c r="M49" s="42"/>
      <c r="N49" s="41"/>
      <c r="O49" s="42"/>
      <c r="P49" s="42"/>
      <c r="Q49" s="41"/>
      <c r="R49" s="30"/>
      <c r="S49" s="54"/>
      <c r="T49" s="55"/>
      <c r="U49" s="54"/>
      <c r="V49" s="54"/>
      <c r="W49" s="54"/>
      <c r="X49" s="54"/>
      <c r="Y49" s="54"/>
      <c r="Z49" s="54"/>
      <c r="AA49" s="54"/>
      <c r="AB49" s="54"/>
      <c r="AC49" s="54"/>
    </row>
    <row r="50" ht="13.8" outlineLevel="1" spans="1:29">
      <c r="A50" s="30"/>
      <c r="B50" s="30"/>
      <c r="C50" s="30"/>
      <c r="D50" s="31"/>
      <c r="E50" s="31"/>
      <c r="F50" s="30"/>
      <c r="G50" s="32"/>
      <c r="H50" s="33"/>
      <c r="I50" s="33"/>
      <c r="J50" s="42"/>
      <c r="K50" s="41"/>
      <c r="L50" s="42"/>
      <c r="M50" s="42"/>
      <c r="N50" s="41"/>
      <c r="O50" s="42"/>
      <c r="P50" s="42"/>
      <c r="Q50" s="41"/>
      <c r="R50" s="30"/>
      <c r="S50" s="37"/>
      <c r="T50" s="56"/>
      <c r="U50" s="37"/>
      <c r="V50" s="37"/>
      <c r="W50" s="37"/>
      <c r="X50" s="37"/>
      <c r="Y50" s="37"/>
      <c r="Z50" s="37"/>
      <c r="AA50" s="37"/>
      <c r="AB50" s="37"/>
      <c r="AC50" s="37"/>
    </row>
    <row r="51" ht="13.8" outlineLevel="1" spans="1:29">
      <c r="A51" s="30"/>
      <c r="B51" s="30"/>
      <c r="C51" s="30"/>
      <c r="D51" s="31"/>
      <c r="E51" s="31"/>
      <c r="F51" s="30"/>
      <c r="G51" s="32"/>
      <c r="H51" s="33"/>
      <c r="I51" s="33"/>
      <c r="J51" s="42"/>
      <c r="K51" s="41"/>
      <c r="L51" s="42"/>
      <c r="M51" s="42"/>
      <c r="N51" s="41"/>
      <c r="O51" s="42"/>
      <c r="P51" s="42"/>
      <c r="Q51" s="41"/>
      <c r="R51" s="30"/>
      <c r="S51" s="37"/>
      <c r="T51" s="56"/>
      <c r="U51" s="37"/>
      <c r="V51" s="37"/>
      <c r="W51" s="37"/>
      <c r="X51" s="37"/>
      <c r="Y51" s="37"/>
      <c r="Z51" s="37"/>
      <c r="AA51" s="37"/>
      <c r="AB51" s="37"/>
      <c r="AC51" s="37"/>
    </row>
    <row r="52" ht="64.5" customHeight="1" outlineLevel="1" spans="1:29">
      <c r="A52" s="62"/>
      <c r="B52" s="62"/>
      <c r="C52" s="62"/>
      <c r="D52" s="63"/>
      <c r="E52" s="63"/>
      <c r="F52" s="62"/>
      <c r="G52" s="1"/>
      <c r="H52" s="64"/>
      <c r="I52" s="64"/>
      <c r="J52" s="1"/>
      <c r="K52" s="1"/>
      <c r="L52" s="1"/>
      <c r="M52" s="1"/>
      <c r="N52" s="1"/>
      <c r="O52" s="1"/>
      <c r="P52" s="1"/>
      <c r="Q52" s="1"/>
      <c r="R52" s="62"/>
      <c r="S52" s="37"/>
      <c r="T52" s="57"/>
      <c r="U52" s="37"/>
      <c r="V52" s="37"/>
      <c r="W52" s="37"/>
      <c r="X52" s="37"/>
      <c r="Y52" s="37"/>
      <c r="Z52" s="37"/>
      <c r="AA52" s="37"/>
      <c r="AB52" s="37"/>
      <c r="AC52" s="37"/>
    </row>
    <row r="53" ht="64.5" customHeight="1" spans="1:29">
      <c r="A53" s="62"/>
      <c r="B53" s="62"/>
      <c r="C53" s="62"/>
      <c r="D53" s="63"/>
      <c r="E53" s="63"/>
      <c r="F53" s="62"/>
      <c r="G53" s="1"/>
      <c r="H53" s="64"/>
      <c r="I53" s="64"/>
      <c r="J53" s="1"/>
      <c r="K53" s="1"/>
      <c r="L53" s="1"/>
      <c r="M53" s="1"/>
      <c r="N53" s="1"/>
      <c r="O53" s="1"/>
      <c r="P53" s="1"/>
      <c r="Q53" s="1"/>
      <c r="R53" s="67"/>
      <c r="S53" s="54"/>
      <c r="T53" s="55"/>
      <c r="U53" s="54"/>
      <c r="V53" s="54"/>
      <c r="W53" s="54"/>
      <c r="X53" s="54"/>
      <c r="Y53" s="54"/>
      <c r="Z53" s="54"/>
      <c r="AA53" s="54"/>
      <c r="AB53" s="54"/>
      <c r="AC53" s="54"/>
    </row>
    <row r="54" ht="64.5" customHeight="1" outlineLevel="1" spans="1:29">
      <c r="A54" s="62"/>
      <c r="B54" s="62"/>
      <c r="C54" s="62"/>
      <c r="D54" s="63"/>
      <c r="E54" s="63"/>
      <c r="F54" s="62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67"/>
      <c r="S54" s="37"/>
      <c r="T54" s="56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62"/>
      <c r="B55" s="62"/>
      <c r="C55" s="62"/>
      <c r="D55" s="65"/>
      <c r="E55" s="65"/>
      <c r="F55" s="66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66"/>
      <c r="S55" s="37"/>
      <c r="T55" s="57"/>
      <c r="U55" s="37"/>
      <c r="V55" s="37"/>
      <c r="W55" s="37"/>
      <c r="X55" s="37"/>
      <c r="Y55" s="37"/>
      <c r="Z55" s="37"/>
      <c r="AA55" s="37"/>
      <c r="AB55" s="37"/>
      <c r="AC55" s="37"/>
    </row>
    <row r="56" ht="12.75" customHeight="1" spans="1:29">
      <c r="A56" s="37"/>
      <c r="B56" s="37"/>
      <c r="C56" s="38"/>
      <c r="D56" s="39"/>
      <c r="E56" s="39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43"/>
      <c r="T56" s="44"/>
      <c r="U56" s="43"/>
      <c r="V56" s="43"/>
      <c r="W56" s="43"/>
      <c r="X56" s="43"/>
      <c r="Y56" s="43"/>
      <c r="Z56" s="43"/>
      <c r="AA56" s="43"/>
      <c r="AB56" s="43"/>
      <c r="AC56" s="43"/>
    </row>
    <row r="57" ht="12.75" customHeight="1" spans="1:29">
      <c r="A57" s="37"/>
      <c r="B57" s="37"/>
      <c r="C57" s="38"/>
      <c r="D57" s="39"/>
      <c r="E57" s="39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43"/>
      <c r="T57" s="44"/>
      <c r="U57" s="43"/>
      <c r="V57" s="43"/>
      <c r="W57" s="43"/>
      <c r="X57" s="43"/>
      <c r="Y57" s="43"/>
      <c r="Z57" s="43"/>
      <c r="AA57" s="43"/>
      <c r="AB57" s="43"/>
      <c r="AC57" s="43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43"/>
      <c r="C228" s="58"/>
      <c r="D228" s="59"/>
      <c r="E228" s="59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43"/>
      <c r="C229" s="58"/>
      <c r="D229" s="59"/>
      <c r="E229" s="59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5:H55 G11:G54 H2:H3 L11:L55 M2:M3 O11:O55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26"/>
  <sheetViews>
    <sheetView workbookViewId="0">
      <pane ySplit="10" topLeftCell="A11" activePane="bottomLeft" state="frozen"/>
      <selection/>
      <selection pane="bottomLeft" activeCell="A1" sqref="A1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53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COUNTA(B11:B960)-COUNTIF($N11:$N960,"Skip")</f>
        <v>17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COUNTIF($G11:$G960,C5)</f>
        <v>17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COUNTIF($L11:$L960,C5)</f>
        <v>17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COUNTIF($O11:$O960,C5)</f>
        <v>17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158.4" spans="1:29">
      <c r="A11" s="30" t="s">
        <v>52</v>
      </c>
      <c r="B11" s="30" t="s">
        <v>1270</v>
      </c>
      <c r="C11" s="30" t="s">
        <v>1271</v>
      </c>
      <c r="D11" s="31" t="s">
        <v>1272</v>
      </c>
      <c r="E11" s="31" t="s">
        <v>1273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4</v>
      </c>
      <c r="L11" s="42" t="s">
        <v>209</v>
      </c>
      <c r="M11" s="40">
        <v>45993</v>
      </c>
      <c r="N11" s="41" t="s">
        <v>4</v>
      </c>
      <c r="O11" s="42" t="s">
        <v>209</v>
      </c>
      <c r="P11" s="40">
        <v>45995</v>
      </c>
      <c r="Q11" s="41" t="s">
        <v>4</v>
      </c>
      <c r="R11" s="4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39.6" spans="1:29">
      <c r="A12" s="30" t="s">
        <v>52</v>
      </c>
      <c r="B12" s="30" t="s">
        <v>1274</v>
      </c>
      <c r="C12" s="30" t="s">
        <v>1275</v>
      </c>
      <c r="D12" s="31" t="s">
        <v>1276</v>
      </c>
      <c r="E12" s="31" t="s">
        <v>1277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4</v>
      </c>
      <c r="L12" s="42" t="s">
        <v>209</v>
      </c>
      <c r="M12" s="40">
        <v>45993</v>
      </c>
      <c r="N12" s="41" t="s">
        <v>4</v>
      </c>
      <c r="O12" s="42" t="s">
        <v>209</v>
      </c>
      <c r="P12" s="40">
        <v>45995</v>
      </c>
      <c r="Q12" s="41" t="s">
        <v>4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39.6" spans="1:29">
      <c r="A13" s="30" t="s">
        <v>52</v>
      </c>
      <c r="B13" s="30" t="s">
        <v>1278</v>
      </c>
      <c r="C13" s="30" t="s">
        <v>1279</v>
      </c>
      <c r="D13" s="31" t="s">
        <v>1280</v>
      </c>
      <c r="E13" s="31" t="s">
        <v>1277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4</v>
      </c>
      <c r="L13" s="42" t="s">
        <v>209</v>
      </c>
      <c r="M13" s="40">
        <v>45993</v>
      </c>
      <c r="N13" s="41" t="s">
        <v>4</v>
      </c>
      <c r="O13" s="42" t="s">
        <v>209</v>
      </c>
      <c r="P13" s="40">
        <v>45995</v>
      </c>
      <c r="Q13" s="41" t="s">
        <v>4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39.6" spans="1:29">
      <c r="A14" s="30" t="s">
        <v>52</v>
      </c>
      <c r="B14" s="30" t="s">
        <v>1281</v>
      </c>
      <c r="C14" s="30" t="s">
        <v>1282</v>
      </c>
      <c r="D14" s="31" t="s">
        <v>1283</v>
      </c>
      <c r="E14" s="31" t="s">
        <v>342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4</v>
      </c>
      <c r="L14" s="42" t="s">
        <v>209</v>
      </c>
      <c r="M14" s="40">
        <v>45993</v>
      </c>
      <c r="N14" s="41" t="s">
        <v>4</v>
      </c>
      <c r="O14" s="42" t="s">
        <v>209</v>
      </c>
      <c r="P14" s="40">
        <v>45995</v>
      </c>
      <c r="Q14" s="41" t="s">
        <v>4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52.8" spans="1:29">
      <c r="A15" s="30" t="s">
        <v>54</v>
      </c>
      <c r="B15" s="30" t="s">
        <v>1284</v>
      </c>
      <c r="C15" s="30" t="s">
        <v>1285</v>
      </c>
      <c r="D15" s="31" t="s">
        <v>1286</v>
      </c>
      <c r="E15" s="31" t="s">
        <v>1287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4</v>
      </c>
      <c r="L15" s="42" t="s">
        <v>209</v>
      </c>
      <c r="M15" s="40">
        <v>45993</v>
      </c>
      <c r="N15" s="41" t="s">
        <v>4</v>
      </c>
      <c r="O15" s="42" t="s">
        <v>209</v>
      </c>
      <c r="P15" s="40">
        <v>45995</v>
      </c>
      <c r="Q15" s="41" t="s">
        <v>4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52.8" spans="1:29">
      <c r="A16" s="30" t="s">
        <v>54</v>
      </c>
      <c r="B16" s="30" t="s">
        <v>1288</v>
      </c>
      <c r="C16" s="30" t="s">
        <v>1289</v>
      </c>
      <c r="D16" s="31" t="s">
        <v>1290</v>
      </c>
      <c r="E16" s="31" t="s">
        <v>1291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4</v>
      </c>
      <c r="L16" s="42" t="s">
        <v>209</v>
      </c>
      <c r="M16" s="40">
        <v>45993</v>
      </c>
      <c r="N16" s="41" t="s">
        <v>4</v>
      </c>
      <c r="O16" s="42" t="s">
        <v>209</v>
      </c>
      <c r="P16" s="40">
        <v>45995</v>
      </c>
      <c r="Q16" s="41" t="s">
        <v>4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52.8" spans="1:29">
      <c r="A17" s="30" t="s">
        <v>54</v>
      </c>
      <c r="B17" s="30" t="s">
        <v>1292</v>
      </c>
      <c r="C17" s="30" t="s">
        <v>1293</v>
      </c>
      <c r="D17" s="31" t="s">
        <v>1294</v>
      </c>
      <c r="E17" s="31" t="s">
        <v>1291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4</v>
      </c>
      <c r="L17" s="42" t="s">
        <v>209</v>
      </c>
      <c r="M17" s="40">
        <v>45993</v>
      </c>
      <c r="N17" s="41" t="s">
        <v>4</v>
      </c>
      <c r="O17" s="42" t="s">
        <v>209</v>
      </c>
      <c r="P17" s="40">
        <v>45995</v>
      </c>
      <c r="Q17" s="41" t="s">
        <v>4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52.8" spans="1:29">
      <c r="A18" s="30" t="s">
        <v>54</v>
      </c>
      <c r="B18" s="30" t="s">
        <v>1295</v>
      </c>
      <c r="C18" s="30" t="s">
        <v>1296</v>
      </c>
      <c r="D18" s="31" t="s">
        <v>1297</v>
      </c>
      <c r="E18" s="31" t="s">
        <v>1277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4</v>
      </c>
      <c r="L18" s="42" t="s">
        <v>209</v>
      </c>
      <c r="M18" s="40">
        <v>45993</v>
      </c>
      <c r="N18" s="41" t="s">
        <v>4</v>
      </c>
      <c r="O18" s="42" t="s">
        <v>209</v>
      </c>
      <c r="P18" s="40">
        <v>45995</v>
      </c>
      <c r="Q18" s="41" t="s">
        <v>4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52.8" spans="1:29">
      <c r="A19" s="30" t="s">
        <v>54</v>
      </c>
      <c r="B19" s="30" t="s">
        <v>1298</v>
      </c>
      <c r="C19" s="30" t="s">
        <v>1299</v>
      </c>
      <c r="D19" s="31" t="s">
        <v>1300</v>
      </c>
      <c r="E19" s="31" t="s">
        <v>1277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4</v>
      </c>
      <c r="L19" s="42" t="s">
        <v>209</v>
      </c>
      <c r="M19" s="40">
        <v>45993</v>
      </c>
      <c r="N19" s="41" t="s">
        <v>4</v>
      </c>
      <c r="O19" s="42" t="s">
        <v>209</v>
      </c>
      <c r="P19" s="40">
        <v>45995</v>
      </c>
      <c r="Q19" s="41" t="s">
        <v>4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52.8" spans="1:29">
      <c r="A20" s="30" t="s">
        <v>55</v>
      </c>
      <c r="B20" s="30" t="s">
        <v>1301</v>
      </c>
      <c r="C20" s="30" t="s">
        <v>1302</v>
      </c>
      <c r="D20" s="31" t="s">
        <v>1303</v>
      </c>
      <c r="E20" s="31" t="s">
        <v>1304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4</v>
      </c>
      <c r="L20" s="42" t="s">
        <v>209</v>
      </c>
      <c r="M20" s="40">
        <v>45993</v>
      </c>
      <c r="N20" s="41" t="s">
        <v>4</v>
      </c>
      <c r="O20" s="42" t="s">
        <v>209</v>
      </c>
      <c r="P20" s="40">
        <v>45995</v>
      </c>
      <c r="Q20" s="41" t="s">
        <v>4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52.8" spans="1:29">
      <c r="A21" s="30" t="s">
        <v>55</v>
      </c>
      <c r="B21" s="30" t="s">
        <v>1305</v>
      </c>
      <c r="C21" s="30" t="s">
        <v>1306</v>
      </c>
      <c r="D21" s="31" t="s">
        <v>1307</v>
      </c>
      <c r="E21" s="31" t="s">
        <v>1308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4</v>
      </c>
      <c r="L21" s="42" t="s">
        <v>209</v>
      </c>
      <c r="M21" s="40">
        <v>45993</v>
      </c>
      <c r="N21" s="41" t="s">
        <v>4</v>
      </c>
      <c r="O21" s="42" t="s">
        <v>209</v>
      </c>
      <c r="P21" s="40">
        <v>45995</v>
      </c>
      <c r="Q21" s="41" t="s">
        <v>4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52.8" spans="1:29">
      <c r="A22" s="30" t="s">
        <v>55</v>
      </c>
      <c r="B22" s="30" t="s">
        <v>1309</v>
      </c>
      <c r="C22" s="30" t="s">
        <v>1310</v>
      </c>
      <c r="D22" s="31" t="s">
        <v>1311</v>
      </c>
      <c r="E22" s="31" t="s">
        <v>1308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4</v>
      </c>
      <c r="L22" s="42" t="s">
        <v>209</v>
      </c>
      <c r="M22" s="40">
        <v>45993</v>
      </c>
      <c r="N22" s="41" t="s">
        <v>4</v>
      </c>
      <c r="O22" s="42" t="s">
        <v>209</v>
      </c>
      <c r="P22" s="40">
        <v>45995</v>
      </c>
      <c r="Q22" s="41" t="s">
        <v>4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52.8" spans="1:29">
      <c r="A23" s="30" t="s">
        <v>55</v>
      </c>
      <c r="B23" s="30" t="s">
        <v>1312</v>
      </c>
      <c r="C23" s="30" t="s">
        <v>1313</v>
      </c>
      <c r="D23" s="31" t="s">
        <v>1314</v>
      </c>
      <c r="E23" s="31" t="s">
        <v>1315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4</v>
      </c>
      <c r="L23" s="42" t="s">
        <v>209</v>
      </c>
      <c r="M23" s="40">
        <v>45993</v>
      </c>
      <c r="N23" s="41" t="s">
        <v>4</v>
      </c>
      <c r="O23" s="42" t="s">
        <v>209</v>
      </c>
      <c r="P23" s="40">
        <v>45995</v>
      </c>
      <c r="Q23" s="41" t="s">
        <v>4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52.8" spans="1:29">
      <c r="A24" s="30" t="s">
        <v>55</v>
      </c>
      <c r="B24" s="30" t="s">
        <v>1316</v>
      </c>
      <c r="C24" s="30" t="s">
        <v>1317</v>
      </c>
      <c r="D24" s="31" t="s">
        <v>1318</v>
      </c>
      <c r="E24" s="31" t="s">
        <v>1315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4</v>
      </c>
      <c r="L24" s="42" t="s">
        <v>209</v>
      </c>
      <c r="M24" s="40">
        <v>45993</v>
      </c>
      <c r="N24" s="41" t="s">
        <v>4</v>
      </c>
      <c r="O24" s="42" t="s">
        <v>209</v>
      </c>
      <c r="P24" s="40">
        <v>45995</v>
      </c>
      <c r="Q24" s="41" t="s">
        <v>4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39.6" spans="1:29">
      <c r="A25" s="30" t="s">
        <v>56</v>
      </c>
      <c r="B25" s="30" t="s">
        <v>1319</v>
      </c>
      <c r="C25" s="30" t="s">
        <v>1320</v>
      </c>
      <c r="D25" s="31" t="s">
        <v>1321</v>
      </c>
      <c r="E25" s="31" t="s">
        <v>1322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4</v>
      </c>
      <c r="L25" s="42" t="s">
        <v>209</v>
      </c>
      <c r="M25" s="40">
        <v>45993</v>
      </c>
      <c r="N25" s="41" t="s">
        <v>4</v>
      </c>
      <c r="O25" s="42" t="s">
        <v>209</v>
      </c>
      <c r="P25" s="40">
        <v>45995</v>
      </c>
      <c r="Q25" s="41" t="s">
        <v>4</v>
      </c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39.6" outlineLevel="1" spans="1:29">
      <c r="A26" s="30" t="s">
        <v>56</v>
      </c>
      <c r="B26" s="30" t="s">
        <v>1323</v>
      </c>
      <c r="C26" s="30" t="s">
        <v>1324</v>
      </c>
      <c r="D26" s="31" t="s">
        <v>1325</v>
      </c>
      <c r="E26" s="31" t="s">
        <v>1326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4</v>
      </c>
      <c r="L26" s="42" t="s">
        <v>209</v>
      </c>
      <c r="M26" s="40">
        <v>45993</v>
      </c>
      <c r="N26" s="41" t="s">
        <v>4</v>
      </c>
      <c r="O26" s="42" t="s">
        <v>209</v>
      </c>
      <c r="P26" s="40">
        <v>45995</v>
      </c>
      <c r="Q26" s="41" t="s">
        <v>4</v>
      </c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39.6" outlineLevel="1" spans="1:29">
      <c r="A27" s="30" t="s">
        <v>56</v>
      </c>
      <c r="B27" s="30" t="s">
        <v>1327</v>
      </c>
      <c r="C27" s="30" t="s">
        <v>1328</v>
      </c>
      <c r="D27" s="31" t="s">
        <v>1329</v>
      </c>
      <c r="E27" s="31" t="s">
        <v>1326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4</v>
      </c>
      <c r="L27" s="42" t="s">
        <v>209</v>
      </c>
      <c r="M27" s="40">
        <v>45993</v>
      </c>
      <c r="N27" s="41" t="s">
        <v>4</v>
      </c>
      <c r="O27" s="42" t="s">
        <v>209</v>
      </c>
      <c r="P27" s="40">
        <v>45995</v>
      </c>
      <c r="Q27" s="41" t="s">
        <v>4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13.8" outlineLevel="1" spans="1:29">
      <c r="A28" s="30"/>
      <c r="B28" s="30"/>
      <c r="C28" s="30"/>
      <c r="D28" s="31"/>
      <c r="E28" s="31"/>
      <c r="F28" s="30"/>
      <c r="G28" s="32"/>
      <c r="H28" s="33"/>
      <c r="I28" s="33"/>
      <c r="J28" s="40"/>
      <c r="K28" s="41"/>
      <c r="L28" s="42"/>
      <c r="M28" s="40"/>
      <c r="N28" s="41"/>
      <c r="O28" s="42"/>
      <c r="P28" s="40"/>
      <c r="Q28" s="41"/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13.8" outlineLevel="1" spans="1:29">
      <c r="A29" s="30"/>
      <c r="B29" s="30"/>
      <c r="C29" s="30"/>
      <c r="D29" s="31"/>
      <c r="E29" s="31"/>
      <c r="F29" s="30"/>
      <c r="G29" s="32"/>
      <c r="H29" s="33"/>
      <c r="I29" s="33"/>
      <c r="J29" s="40"/>
      <c r="K29" s="41"/>
      <c r="L29" s="42"/>
      <c r="M29" s="40"/>
      <c r="N29" s="41"/>
      <c r="O29" s="42"/>
      <c r="P29" s="40"/>
      <c r="Q29" s="41"/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13.8" outlineLevel="1" spans="1:29">
      <c r="A30" s="30"/>
      <c r="B30" s="30"/>
      <c r="C30" s="30"/>
      <c r="D30" s="31"/>
      <c r="E30" s="31"/>
      <c r="F30" s="30"/>
      <c r="G30" s="32"/>
      <c r="H30" s="33"/>
      <c r="I30" s="33"/>
      <c r="J30" s="40"/>
      <c r="K30" s="41"/>
      <c r="L30" s="42"/>
      <c r="M30" s="40"/>
      <c r="N30" s="41"/>
      <c r="O30" s="42"/>
      <c r="P30" s="40"/>
      <c r="Q30" s="41"/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13.8" outlineLevel="1" spans="1:29">
      <c r="A31" s="30"/>
      <c r="B31" s="30"/>
      <c r="C31" s="30"/>
      <c r="D31" s="31"/>
      <c r="E31" s="31"/>
      <c r="F31" s="30"/>
      <c r="G31" s="32"/>
      <c r="H31" s="33"/>
      <c r="I31" s="33"/>
      <c r="J31" s="40"/>
      <c r="K31" s="41"/>
      <c r="L31" s="42"/>
      <c r="M31" s="40"/>
      <c r="N31" s="41"/>
      <c r="O31" s="42"/>
      <c r="P31" s="40"/>
      <c r="Q31" s="41"/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13.8" outlineLevel="1" spans="1:29">
      <c r="A32" s="30"/>
      <c r="B32" s="30"/>
      <c r="C32" s="30"/>
      <c r="D32" s="31"/>
      <c r="E32" s="31"/>
      <c r="F32" s="30"/>
      <c r="G32" s="32"/>
      <c r="H32" s="33"/>
      <c r="I32" s="33"/>
      <c r="J32" s="40"/>
      <c r="K32" s="41"/>
      <c r="L32" s="42"/>
      <c r="M32" s="40"/>
      <c r="N32" s="41"/>
      <c r="O32" s="42"/>
      <c r="P32" s="40"/>
      <c r="Q32" s="41"/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3.8" outlineLevel="1" spans="1:29">
      <c r="A33" s="30"/>
      <c r="B33" s="30"/>
      <c r="C33" s="30"/>
      <c r="D33" s="31"/>
      <c r="E33" s="31"/>
      <c r="F33" s="30"/>
      <c r="G33" s="32"/>
      <c r="H33" s="33"/>
      <c r="I33" s="33"/>
      <c r="J33" s="40"/>
      <c r="K33" s="41"/>
      <c r="L33" s="42"/>
      <c r="M33" s="40"/>
      <c r="N33" s="41"/>
      <c r="O33" s="42"/>
      <c r="P33" s="40"/>
      <c r="Q33" s="41"/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3.8" outlineLevel="1" spans="1:29">
      <c r="A34" s="30"/>
      <c r="B34" s="30"/>
      <c r="C34" s="30"/>
      <c r="D34" s="31"/>
      <c r="E34" s="31"/>
      <c r="F34" s="30"/>
      <c r="G34" s="32"/>
      <c r="H34" s="33"/>
      <c r="I34" s="33"/>
      <c r="J34" s="40"/>
      <c r="K34" s="41"/>
      <c r="L34" s="42"/>
      <c r="M34" s="40"/>
      <c r="N34" s="41"/>
      <c r="O34" s="42"/>
      <c r="P34" s="40"/>
      <c r="Q34" s="41"/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3.8" outlineLevel="1" spans="1:29">
      <c r="A35" s="30"/>
      <c r="B35" s="30"/>
      <c r="C35" s="30"/>
      <c r="D35" s="31"/>
      <c r="E35" s="31"/>
      <c r="F35" s="30"/>
      <c r="G35" s="32"/>
      <c r="H35" s="33"/>
      <c r="I35" s="33"/>
      <c r="J35" s="40"/>
      <c r="K35" s="41"/>
      <c r="L35" s="42"/>
      <c r="M35" s="40"/>
      <c r="N35" s="41"/>
      <c r="O35" s="42"/>
      <c r="P35" s="40"/>
      <c r="Q35" s="41"/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3.8" outlineLevel="1" spans="1:29">
      <c r="A36" s="30"/>
      <c r="B36" s="30"/>
      <c r="C36" s="30"/>
      <c r="D36" s="31"/>
      <c r="E36" s="31"/>
      <c r="F36" s="30"/>
      <c r="G36" s="32"/>
      <c r="H36" s="33"/>
      <c r="I36" s="33"/>
      <c r="J36" s="40"/>
      <c r="K36" s="41"/>
      <c r="L36" s="42"/>
      <c r="M36" s="40"/>
      <c r="N36" s="41"/>
      <c r="O36" s="42"/>
      <c r="P36" s="40"/>
      <c r="Q36" s="41"/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3.8" outlineLevel="1" spans="1:29">
      <c r="A37" s="30"/>
      <c r="B37" s="30"/>
      <c r="C37" s="30"/>
      <c r="D37" s="31"/>
      <c r="E37" s="31"/>
      <c r="F37" s="30"/>
      <c r="G37" s="32"/>
      <c r="H37" s="33"/>
      <c r="I37" s="33"/>
      <c r="J37" s="40"/>
      <c r="K37" s="41"/>
      <c r="L37" s="42"/>
      <c r="M37" s="40"/>
      <c r="N37" s="41"/>
      <c r="O37" s="42"/>
      <c r="P37" s="40"/>
      <c r="Q37" s="41"/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8" outlineLevel="1" spans="1:29">
      <c r="A38" s="30"/>
      <c r="B38" s="30"/>
      <c r="C38" s="30"/>
      <c r="D38" s="31"/>
      <c r="E38" s="31"/>
      <c r="F38" s="30"/>
      <c r="G38" s="32"/>
      <c r="H38" s="33"/>
      <c r="I38" s="33"/>
      <c r="J38" s="42"/>
      <c r="K38" s="41"/>
      <c r="L38" s="42"/>
      <c r="M38" s="42"/>
      <c r="N38" s="41"/>
      <c r="O38" s="42"/>
      <c r="P38" s="42"/>
      <c r="Q38" s="41"/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8" outlineLevel="1" spans="1:29">
      <c r="A39" s="30"/>
      <c r="B39" s="30"/>
      <c r="C39" s="30"/>
      <c r="D39" s="31"/>
      <c r="E39" s="31"/>
      <c r="F39" s="30"/>
      <c r="G39" s="32"/>
      <c r="H39" s="33"/>
      <c r="I39" s="33"/>
      <c r="J39" s="42"/>
      <c r="K39" s="41"/>
      <c r="L39" s="42"/>
      <c r="M39" s="42"/>
      <c r="N39" s="41"/>
      <c r="O39" s="42"/>
      <c r="P39" s="42"/>
      <c r="Q39" s="41"/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8" outlineLevel="1" spans="1:29">
      <c r="A40" s="30"/>
      <c r="B40" s="30"/>
      <c r="C40" s="30"/>
      <c r="D40" s="31"/>
      <c r="E40" s="31"/>
      <c r="F40" s="30"/>
      <c r="G40" s="32"/>
      <c r="H40" s="33"/>
      <c r="I40" s="33"/>
      <c r="J40" s="42"/>
      <c r="K40" s="41"/>
      <c r="L40" s="42"/>
      <c r="M40" s="42"/>
      <c r="N40" s="41"/>
      <c r="O40" s="42"/>
      <c r="P40" s="42"/>
      <c r="Q40" s="41"/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8" outlineLevel="1" spans="1:29">
      <c r="A41" s="30"/>
      <c r="B41" s="30"/>
      <c r="C41" s="30"/>
      <c r="D41" s="31"/>
      <c r="E41" s="31"/>
      <c r="F41" s="30"/>
      <c r="G41" s="32"/>
      <c r="H41" s="33"/>
      <c r="I41" s="33"/>
      <c r="J41" s="42"/>
      <c r="K41" s="41"/>
      <c r="L41" s="42"/>
      <c r="M41" s="42"/>
      <c r="N41" s="41"/>
      <c r="O41" s="42"/>
      <c r="P41" s="42"/>
      <c r="Q41" s="41"/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8" outlineLevel="1" spans="1:29">
      <c r="A42" s="30"/>
      <c r="B42" s="30"/>
      <c r="C42" s="30"/>
      <c r="D42" s="31"/>
      <c r="E42" s="31"/>
      <c r="F42" s="30"/>
      <c r="G42" s="32"/>
      <c r="H42" s="33"/>
      <c r="I42" s="33"/>
      <c r="J42" s="42"/>
      <c r="K42" s="41"/>
      <c r="L42" s="42"/>
      <c r="M42" s="42"/>
      <c r="N42" s="41"/>
      <c r="O42" s="42"/>
      <c r="P42" s="42"/>
      <c r="Q42" s="41"/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8" outlineLevel="1" spans="1:29">
      <c r="A43" s="30"/>
      <c r="B43" s="30"/>
      <c r="C43" s="30"/>
      <c r="D43" s="31"/>
      <c r="E43" s="31"/>
      <c r="F43" s="30"/>
      <c r="G43" s="32"/>
      <c r="H43" s="33"/>
      <c r="I43" s="33"/>
      <c r="J43" s="42"/>
      <c r="K43" s="41"/>
      <c r="L43" s="42"/>
      <c r="M43" s="42"/>
      <c r="N43" s="41"/>
      <c r="O43" s="42"/>
      <c r="P43" s="42"/>
      <c r="Q43" s="41"/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8" outlineLevel="1" spans="1:29">
      <c r="A44" s="30"/>
      <c r="B44" s="30"/>
      <c r="C44" s="30"/>
      <c r="D44" s="31"/>
      <c r="E44" s="31"/>
      <c r="F44" s="30"/>
      <c r="G44" s="32"/>
      <c r="H44" s="33"/>
      <c r="I44" s="33"/>
      <c r="J44" s="42"/>
      <c r="K44" s="41"/>
      <c r="L44" s="42"/>
      <c r="M44" s="42"/>
      <c r="N44" s="41"/>
      <c r="O44" s="42"/>
      <c r="P44" s="42"/>
      <c r="Q44" s="41"/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8" outlineLevel="1" spans="1:29">
      <c r="A45" s="30"/>
      <c r="B45" s="30"/>
      <c r="C45" s="30"/>
      <c r="D45" s="31"/>
      <c r="E45" s="31"/>
      <c r="F45" s="30"/>
      <c r="G45" s="32"/>
      <c r="H45" s="33"/>
      <c r="I45" s="33"/>
      <c r="J45" s="42"/>
      <c r="K45" s="41"/>
      <c r="L45" s="42"/>
      <c r="M45" s="42"/>
      <c r="N45" s="41"/>
      <c r="O45" s="42"/>
      <c r="P45" s="42"/>
      <c r="Q45" s="41"/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8" outlineLevel="1" spans="1:29">
      <c r="A46" s="30"/>
      <c r="B46" s="30"/>
      <c r="C46" s="30"/>
      <c r="D46" s="31"/>
      <c r="E46" s="31"/>
      <c r="F46" s="30"/>
      <c r="G46" s="32"/>
      <c r="H46" s="33"/>
      <c r="I46" s="33"/>
      <c r="J46" s="42"/>
      <c r="K46" s="41"/>
      <c r="L46" s="42"/>
      <c r="M46" s="42"/>
      <c r="N46" s="41"/>
      <c r="O46" s="42"/>
      <c r="P46" s="42"/>
      <c r="Q46" s="41"/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8" outlineLevel="1" spans="1:29">
      <c r="A47" s="30"/>
      <c r="B47" s="30"/>
      <c r="C47" s="30"/>
      <c r="D47" s="31"/>
      <c r="E47" s="31"/>
      <c r="F47" s="30"/>
      <c r="G47" s="32"/>
      <c r="H47" s="33"/>
      <c r="I47" s="33"/>
      <c r="J47" s="42"/>
      <c r="K47" s="41"/>
      <c r="L47" s="42"/>
      <c r="M47" s="42"/>
      <c r="N47" s="41"/>
      <c r="O47" s="42"/>
      <c r="P47" s="42"/>
      <c r="Q47" s="41"/>
      <c r="R47" s="30"/>
      <c r="S47" s="43"/>
      <c r="T47" s="53"/>
      <c r="U47" s="43"/>
      <c r="V47" s="43"/>
      <c r="W47" s="43"/>
      <c r="X47" s="43"/>
      <c r="Y47" s="43"/>
      <c r="Z47" s="43"/>
      <c r="AA47" s="43"/>
      <c r="AB47" s="43"/>
      <c r="AC47" s="43"/>
    </row>
    <row r="48" ht="13.8" outlineLevel="1" spans="1:29">
      <c r="A48" s="30"/>
      <c r="B48" s="30"/>
      <c r="C48" s="30"/>
      <c r="D48" s="31"/>
      <c r="E48" s="31"/>
      <c r="F48" s="30"/>
      <c r="G48" s="32"/>
      <c r="H48" s="33"/>
      <c r="I48" s="33"/>
      <c r="J48" s="42"/>
      <c r="K48" s="41"/>
      <c r="L48" s="42"/>
      <c r="M48" s="42"/>
      <c r="N48" s="41"/>
      <c r="O48" s="42"/>
      <c r="P48" s="42"/>
      <c r="Q48" s="41"/>
      <c r="R48" s="30"/>
      <c r="S48" s="43"/>
      <c r="T48" s="53"/>
      <c r="U48" s="43"/>
      <c r="V48" s="43"/>
      <c r="W48" s="43"/>
      <c r="X48" s="43"/>
      <c r="Y48" s="43"/>
      <c r="Z48" s="43"/>
      <c r="AA48" s="43"/>
      <c r="AB48" s="43"/>
      <c r="AC48" s="43"/>
    </row>
    <row r="49" ht="13.8" spans="1:29">
      <c r="A49" s="30"/>
      <c r="B49" s="30"/>
      <c r="C49" s="30"/>
      <c r="D49" s="31"/>
      <c r="E49" s="31"/>
      <c r="F49" s="30"/>
      <c r="G49" s="32"/>
      <c r="H49" s="33"/>
      <c r="I49" s="33"/>
      <c r="J49" s="42"/>
      <c r="K49" s="41"/>
      <c r="L49" s="42"/>
      <c r="M49" s="42"/>
      <c r="N49" s="41"/>
      <c r="O49" s="42"/>
      <c r="P49" s="42"/>
      <c r="Q49" s="41"/>
      <c r="R49" s="30"/>
      <c r="S49" s="47"/>
      <c r="T49" s="51"/>
      <c r="U49" s="47"/>
      <c r="V49" s="47"/>
      <c r="W49" s="47"/>
      <c r="X49" s="47"/>
      <c r="Y49" s="47"/>
      <c r="Z49" s="47"/>
      <c r="AA49" s="47"/>
      <c r="AB49" s="47"/>
      <c r="AC49" s="47"/>
    </row>
    <row r="50" ht="13.8" spans="1:29">
      <c r="A50" s="30"/>
      <c r="B50" s="30"/>
      <c r="C50" s="30"/>
      <c r="D50" s="31"/>
      <c r="E50" s="31"/>
      <c r="F50" s="30"/>
      <c r="G50" s="32"/>
      <c r="H50" s="33"/>
      <c r="I50" s="33"/>
      <c r="J50" s="42"/>
      <c r="K50" s="41"/>
      <c r="L50" s="42"/>
      <c r="M50" s="42"/>
      <c r="N50" s="41"/>
      <c r="O50" s="42"/>
      <c r="P50" s="42"/>
      <c r="Q50" s="41"/>
      <c r="R50" s="30"/>
      <c r="S50" s="54"/>
      <c r="T50" s="55"/>
      <c r="U50" s="54"/>
      <c r="V50" s="54"/>
      <c r="W50" s="54"/>
      <c r="X50" s="54"/>
      <c r="Y50" s="54"/>
      <c r="Z50" s="54"/>
      <c r="AA50" s="54"/>
      <c r="AB50" s="54"/>
      <c r="AC50" s="54"/>
    </row>
    <row r="51" ht="13.8" spans="1:29">
      <c r="A51" s="30"/>
      <c r="B51" s="30"/>
      <c r="C51" s="30"/>
      <c r="D51" s="31"/>
      <c r="E51" s="31"/>
      <c r="F51" s="30"/>
      <c r="G51" s="32"/>
      <c r="H51" s="33"/>
      <c r="I51" s="33"/>
      <c r="J51" s="42"/>
      <c r="K51" s="41"/>
      <c r="L51" s="42"/>
      <c r="M51" s="42"/>
      <c r="N51" s="41"/>
      <c r="O51" s="42"/>
      <c r="P51" s="42"/>
      <c r="Q51" s="41"/>
      <c r="R51" s="30"/>
      <c r="S51" s="54"/>
      <c r="T51" s="55"/>
      <c r="U51" s="54"/>
      <c r="V51" s="54"/>
      <c r="W51" s="54"/>
      <c r="X51" s="54"/>
      <c r="Y51" s="54"/>
      <c r="Z51" s="54"/>
      <c r="AA51" s="54"/>
      <c r="AB51" s="54"/>
      <c r="AC51" s="54"/>
    </row>
    <row r="52" ht="13.8" outlineLevel="1" spans="1:29">
      <c r="A52" s="30"/>
      <c r="B52" s="30"/>
      <c r="C52" s="30"/>
      <c r="D52" s="31"/>
      <c r="E52" s="31"/>
      <c r="F52" s="30"/>
      <c r="G52" s="32"/>
      <c r="H52" s="33"/>
      <c r="I52" s="33"/>
      <c r="J52" s="42"/>
      <c r="K52" s="41"/>
      <c r="L52" s="42"/>
      <c r="M52" s="42"/>
      <c r="N52" s="41"/>
      <c r="O52" s="42"/>
      <c r="P52" s="42"/>
      <c r="Q52" s="41"/>
      <c r="R52" s="30"/>
      <c r="S52" s="37"/>
      <c r="T52" s="56"/>
      <c r="U52" s="37"/>
      <c r="V52" s="37"/>
      <c r="W52" s="37"/>
      <c r="X52" s="37"/>
      <c r="Y52" s="37"/>
      <c r="Z52" s="37"/>
      <c r="AA52" s="37"/>
      <c r="AB52" s="37"/>
      <c r="AC52" s="37"/>
    </row>
    <row r="53" ht="13.8" outlineLevel="1" spans="1:29">
      <c r="A53" s="30"/>
      <c r="B53" s="30"/>
      <c r="C53" s="30"/>
      <c r="D53" s="31"/>
      <c r="E53" s="31"/>
      <c r="F53" s="30"/>
      <c r="G53" s="32"/>
      <c r="H53" s="33"/>
      <c r="I53" s="33"/>
      <c r="J53" s="42"/>
      <c r="K53" s="41"/>
      <c r="L53" s="42"/>
      <c r="M53" s="42"/>
      <c r="N53" s="41"/>
      <c r="O53" s="42"/>
      <c r="P53" s="42"/>
      <c r="Q53" s="41"/>
      <c r="R53" s="30"/>
      <c r="S53" s="37"/>
      <c r="T53" s="56"/>
      <c r="U53" s="37"/>
      <c r="V53" s="37"/>
      <c r="W53" s="37"/>
      <c r="X53" s="37"/>
      <c r="Y53" s="37"/>
      <c r="Z53" s="37"/>
      <c r="AA53" s="37"/>
      <c r="AB53" s="37"/>
      <c r="AC53" s="37"/>
    </row>
    <row r="54" ht="64.5" customHeight="1" outlineLevel="1" spans="1:29">
      <c r="A54" s="62"/>
      <c r="B54" s="62"/>
      <c r="C54" s="62"/>
      <c r="D54" s="63"/>
      <c r="E54" s="63"/>
      <c r="F54" s="62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62"/>
      <c r="S54" s="37"/>
      <c r="T54" s="57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62"/>
      <c r="B55" s="62"/>
      <c r="C55" s="62"/>
      <c r="D55" s="63"/>
      <c r="E55" s="63"/>
      <c r="F55" s="62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67"/>
      <c r="S55" s="54"/>
      <c r="T55" s="55"/>
      <c r="U55" s="54"/>
      <c r="V55" s="54"/>
      <c r="W55" s="54"/>
      <c r="X55" s="54"/>
      <c r="Y55" s="54"/>
      <c r="Z55" s="54"/>
      <c r="AA55" s="54"/>
      <c r="AB55" s="54"/>
      <c r="AC55" s="54"/>
    </row>
    <row r="56" ht="64.5" customHeight="1" outlineLevel="1" spans="1:29">
      <c r="A56" s="62"/>
      <c r="B56" s="62"/>
      <c r="C56" s="62"/>
      <c r="D56" s="63"/>
      <c r="E56" s="63"/>
      <c r="F56" s="62"/>
      <c r="G56" s="1"/>
      <c r="H56" s="64"/>
      <c r="I56" s="64"/>
      <c r="J56" s="1"/>
      <c r="K56" s="1"/>
      <c r="L56" s="1"/>
      <c r="M56" s="1"/>
      <c r="N56" s="1"/>
      <c r="O56" s="1"/>
      <c r="P56" s="1"/>
      <c r="Q56" s="1"/>
      <c r="R56" s="67"/>
      <c r="S56" s="37"/>
      <c r="T56" s="56"/>
      <c r="U56" s="37"/>
      <c r="V56" s="37"/>
      <c r="W56" s="37"/>
      <c r="X56" s="37"/>
      <c r="Y56" s="37"/>
      <c r="Z56" s="37"/>
      <c r="AA56" s="37"/>
      <c r="AB56" s="37"/>
      <c r="AC56" s="37"/>
    </row>
    <row r="57" ht="64.5" customHeight="1" spans="1:29">
      <c r="A57" s="62"/>
      <c r="B57" s="62"/>
      <c r="C57" s="62"/>
      <c r="D57" s="65"/>
      <c r="E57" s="65"/>
      <c r="F57" s="66"/>
      <c r="G57" s="1"/>
      <c r="H57" s="64"/>
      <c r="I57" s="64"/>
      <c r="J57" s="1"/>
      <c r="K57" s="1"/>
      <c r="L57" s="1"/>
      <c r="M57" s="1"/>
      <c r="N57" s="1"/>
      <c r="O57" s="1"/>
      <c r="P57" s="1"/>
      <c r="Q57" s="1"/>
      <c r="R57" s="66"/>
      <c r="S57" s="37"/>
      <c r="T57" s="57"/>
      <c r="U57" s="37"/>
      <c r="V57" s="37"/>
      <c r="W57" s="37"/>
      <c r="X57" s="37"/>
      <c r="Y57" s="37"/>
      <c r="Z57" s="37"/>
      <c r="AA57" s="37"/>
      <c r="AB57" s="37"/>
      <c r="AC57" s="37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37"/>
      <c r="C228" s="38"/>
      <c r="D228" s="39"/>
      <c r="E228" s="39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37"/>
      <c r="C229" s="38"/>
      <c r="D229" s="39"/>
      <c r="E229" s="39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2.75" customHeight="1" spans="1:29">
      <c r="A252" s="37"/>
      <c r="B252" s="43"/>
      <c r="C252" s="58"/>
      <c r="D252" s="59"/>
      <c r="E252" s="59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2.75" customHeight="1" spans="1:29">
      <c r="A253" s="37"/>
      <c r="B253" s="43"/>
      <c r="C253" s="58"/>
      <c r="D253" s="59"/>
      <c r="E253" s="59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7:H57 G11:G56 H2:H3 L11:L57 M2:M3 O11:O5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26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46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COUNTA(B11:B960)-COUNTIF($N11:$N960,"Skip")</f>
        <v>23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COUNTIF($G11:$G960,C5)</f>
        <v>23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COUNTIF($L11:$L960,C5)</f>
        <v>23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COUNTIF($O11:$O960,C5)</f>
        <v>23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264" spans="1:29">
      <c r="A11" s="30" t="s">
        <v>45</v>
      </c>
      <c r="B11" s="30" t="s">
        <v>1330</v>
      </c>
      <c r="C11" s="30" t="s">
        <v>1331</v>
      </c>
      <c r="D11" s="31" t="s">
        <v>1332</v>
      </c>
      <c r="E11" s="31" t="s">
        <v>1333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4</v>
      </c>
      <c r="L11" s="42" t="s">
        <v>209</v>
      </c>
      <c r="M11" s="40">
        <v>45993</v>
      </c>
      <c r="N11" s="41" t="s">
        <v>4</v>
      </c>
      <c r="O11" s="42" t="s">
        <v>209</v>
      </c>
      <c r="P11" s="40">
        <v>45995</v>
      </c>
      <c r="Q11" s="41" t="s">
        <v>4</v>
      </c>
      <c r="R11" s="4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264" spans="1:29">
      <c r="A12" s="30" t="s">
        <v>45</v>
      </c>
      <c r="B12" s="30" t="s">
        <v>1334</v>
      </c>
      <c r="C12" s="30" t="s">
        <v>1335</v>
      </c>
      <c r="D12" s="31" t="s">
        <v>1336</v>
      </c>
      <c r="E12" s="31" t="s">
        <v>1337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4</v>
      </c>
      <c r="L12" s="42" t="s">
        <v>209</v>
      </c>
      <c r="M12" s="40">
        <v>45993</v>
      </c>
      <c r="N12" s="41" t="s">
        <v>4</v>
      </c>
      <c r="O12" s="42" t="s">
        <v>209</v>
      </c>
      <c r="P12" s="40">
        <v>45995</v>
      </c>
      <c r="Q12" s="41" t="s">
        <v>4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118.8" spans="1:29">
      <c r="A13" s="30" t="s">
        <v>45</v>
      </c>
      <c r="B13" s="30" t="s">
        <v>1338</v>
      </c>
      <c r="C13" s="30" t="s">
        <v>1339</v>
      </c>
      <c r="D13" s="31" t="s">
        <v>1340</v>
      </c>
      <c r="E13" s="31" t="s">
        <v>1341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4</v>
      </c>
      <c r="L13" s="42" t="s">
        <v>209</v>
      </c>
      <c r="M13" s="40">
        <v>45993</v>
      </c>
      <c r="N13" s="41" t="s">
        <v>4</v>
      </c>
      <c r="O13" s="42" t="s">
        <v>209</v>
      </c>
      <c r="P13" s="40">
        <v>45995</v>
      </c>
      <c r="Q13" s="41" t="s">
        <v>4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66" spans="1:29">
      <c r="A14" s="30" t="s">
        <v>45</v>
      </c>
      <c r="B14" s="30" t="s">
        <v>1342</v>
      </c>
      <c r="C14" s="30" t="s">
        <v>1343</v>
      </c>
      <c r="D14" s="31" t="s">
        <v>1344</v>
      </c>
      <c r="E14" s="31" t="s">
        <v>1345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4</v>
      </c>
      <c r="L14" s="42" t="s">
        <v>209</v>
      </c>
      <c r="M14" s="40">
        <v>45993</v>
      </c>
      <c r="N14" s="41" t="s">
        <v>4</v>
      </c>
      <c r="O14" s="42" t="s">
        <v>209</v>
      </c>
      <c r="P14" s="40">
        <v>45995</v>
      </c>
      <c r="Q14" s="41" t="s">
        <v>4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171.6" spans="1:29">
      <c r="A15" s="30" t="s">
        <v>47</v>
      </c>
      <c r="B15" s="30" t="s">
        <v>1346</v>
      </c>
      <c r="C15" s="30" t="s">
        <v>1347</v>
      </c>
      <c r="D15" s="31" t="s">
        <v>1348</v>
      </c>
      <c r="E15" s="31" t="s">
        <v>1349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4</v>
      </c>
      <c r="L15" s="42" t="s">
        <v>209</v>
      </c>
      <c r="M15" s="40">
        <v>45993</v>
      </c>
      <c r="N15" s="41" t="s">
        <v>4</v>
      </c>
      <c r="O15" s="42" t="s">
        <v>209</v>
      </c>
      <c r="P15" s="40">
        <v>45995</v>
      </c>
      <c r="Q15" s="41" t="s">
        <v>4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171.6" spans="1:29">
      <c r="A16" s="30" t="s">
        <v>47</v>
      </c>
      <c r="B16" s="30" t="s">
        <v>1350</v>
      </c>
      <c r="C16" s="30" t="s">
        <v>1351</v>
      </c>
      <c r="D16" s="31" t="s">
        <v>1352</v>
      </c>
      <c r="E16" s="31" t="s">
        <v>1353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4</v>
      </c>
      <c r="L16" s="42" t="s">
        <v>209</v>
      </c>
      <c r="M16" s="40">
        <v>45993</v>
      </c>
      <c r="N16" s="41" t="s">
        <v>4</v>
      </c>
      <c r="O16" s="42" t="s">
        <v>209</v>
      </c>
      <c r="P16" s="40">
        <v>45995</v>
      </c>
      <c r="Q16" s="41" t="s">
        <v>4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79.2" spans="1:29">
      <c r="A17" s="30" t="s">
        <v>47</v>
      </c>
      <c r="B17" s="30" t="s">
        <v>1354</v>
      </c>
      <c r="C17" s="30" t="s">
        <v>1355</v>
      </c>
      <c r="D17" s="31" t="s">
        <v>1356</v>
      </c>
      <c r="E17" s="31" t="s">
        <v>1357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4</v>
      </c>
      <c r="L17" s="42" t="s">
        <v>209</v>
      </c>
      <c r="M17" s="40">
        <v>45993</v>
      </c>
      <c r="N17" s="41" t="s">
        <v>4</v>
      </c>
      <c r="O17" s="42" t="s">
        <v>209</v>
      </c>
      <c r="P17" s="40">
        <v>45995</v>
      </c>
      <c r="Q17" s="41" t="s">
        <v>4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66" spans="1:29">
      <c r="A18" s="30" t="s">
        <v>47</v>
      </c>
      <c r="B18" s="30" t="s">
        <v>1358</v>
      </c>
      <c r="C18" s="30" t="s">
        <v>1359</v>
      </c>
      <c r="D18" s="31" t="s">
        <v>1360</v>
      </c>
      <c r="E18" s="31" t="s">
        <v>1361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4</v>
      </c>
      <c r="L18" s="42" t="s">
        <v>209</v>
      </c>
      <c r="M18" s="40">
        <v>45993</v>
      </c>
      <c r="N18" s="41" t="s">
        <v>4</v>
      </c>
      <c r="O18" s="42" t="s">
        <v>209</v>
      </c>
      <c r="P18" s="40">
        <v>45995</v>
      </c>
      <c r="Q18" s="41" t="s">
        <v>4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132" spans="1:29">
      <c r="A19" s="30" t="s">
        <v>47</v>
      </c>
      <c r="B19" s="30" t="s">
        <v>1362</v>
      </c>
      <c r="C19" s="30" t="s">
        <v>1363</v>
      </c>
      <c r="D19" s="31" t="s">
        <v>1364</v>
      </c>
      <c r="E19" s="31" t="s">
        <v>1365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4</v>
      </c>
      <c r="L19" s="42" t="s">
        <v>209</v>
      </c>
      <c r="M19" s="40">
        <v>45993</v>
      </c>
      <c r="N19" s="41" t="s">
        <v>4</v>
      </c>
      <c r="O19" s="42" t="s">
        <v>209</v>
      </c>
      <c r="P19" s="40">
        <v>45995</v>
      </c>
      <c r="Q19" s="41" t="s">
        <v>4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171.6" spans="1:29">
      <c r="A20" s="30" t="s">
        <v>48</v>
      </c>
      <c r="B20" s="30" t="s">
        <v>1366</v>
      </c>
      <c r="C20" s="30" t="s">
        <v>1367</v>
      </c>
      <c r="D20" s="31" t="s">
        <v>1368</v>
      </c>
      <c r="E20" s="31" t="s">
        <v>1369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4</v>
      </c>
      <c r="L20" s="42" t="s">
        <v>209</v>
      </c>
      <c r="M20" s="40">
        <v>45993</v>
      </c>
      <c r="N20" s="41" t="s">
        <v>4</v>
      </c>
      <c r="O20" s="42" t="s">
        <v>209</v>
      </c>
      <c r="P20" s="40">
        <v>45995</v>
      </c>
      <c r="Q20" s="41" t="s">
        <v>4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39.6" spans="1:29">
      <c r="A21" s="30" t="s">
        <v>48</v>
      </c>
      <c r="B21" s="30" t="s">
        <v>1370</v>
      </c>
      <c r="C21" s="30" t="s">
        <v>1371</v>
      </c>
      <c r="D21" s="31" t="s">
        <v>1372</v>
      </c>
      <c r="E21" s="31" t="s">
        <v>1373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4</v>
      </c>
      <c r="L21" s="42" t="s">
        <v>209</v>
      </c>
      <c r="M21" s="40">
        <v>45993</v>
      </c>
      <c r="N21" s="41" t="s">
        <v>4</v>
      </c>
      <c r="O21" s="42" t="s">
        <v>209</v>
      </c>
      <c r="P21" s="40">
        <v>45995</v>
      </c>
      <c r="Q21" s="41" t="s">
        <v>4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39.6" spans="1:29">
      <c r="A22" s="30" t="s">
        <v>48</v>
      </c>
      <c r="B22" s="30" t="s">
        <v>1374</v>
      </c>
      <c r="C22" s="30" t="s">
        <v>1375</v>
      </c>
      <c r="D22" s="31" t="s">
        <v>1376</v>
      </c>
      <c r="E22" s="31" t="s">
        <v>1377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4</v>
      </c>
      <c r="L22" s="42" t="s">
        <v>209</v>
      </c>
      <c r="M22" s="40">
        <v>45993</v>
      </c>
      <c r="N22" s="41" t="s">
        <v>4</v>
      </c>
      <c r="O22" s="42" t="s">
        <v>209</v>
      </c>
      <c r="P22" s="40">
        <v>45995</v>
      </c>
      <c r="Q22" s="41" t="s">
        <v>4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92.4" spans="1:29">
      <c r="A23" s="30" t="s">
        <v>49</v>
      </c>
      <c r="B23" s="30" t="s">
        <v>1378</v>
      </c>
      <c r="C23" s="30" t="s">
        <v>1379</v>
      </c>
      <c r="D23" s="31" t="s">
        <v>1380</v>
      </c>
      <c r="E23" s="31" t="s">
        <v>1381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4</v>
      </c>
      <c r="L23" s="42" t="s">
        <v>209</v>
      </c>
      <c r="M23" s="40">
        <v>45993</v>
      </c>
      <c r="N23" s="41" t="s">
        <v>4</v>
      </c>
      <c r="O23" s="42" t="s">
        <v>209</v>
      </c>
      <c r="P23" s="40">
        <v>45995</v>
      </c>
      <c r="Q23" s="41" t="s">
        <v>4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92.4" spans="1:29">
      <c r="A24" s="30" t="s">
        <v>49</v>
      </c>
      <c r="B24" s="30" t="s">
        <v>1382</v>
      </c>
      <c r="C24" s="30" t="s">
        <v>1383</v>
      </c>
      <c r="D24" s="31" t="s">
        <v>1384</v>
      </c>
      <c r="E24" s="31" t="s">
        <v>1381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4</v>
      </c>
      <c r="L24" s="42" t="s">
        <v>209</v>
      </c>
      <c r="M24" s="40">
        <v>45993</v>
      </c>
      <c r="N24" s="41" t="s">
        <v>4</v>
      </c>
      <c r="O24" s="42" t="s">
        <v>209</v>
      </c>
      <c r="P24" s="40">
        <v>45995</v>
      </c>
      <c r="Q24" s="41" t="s">
        <v>4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92.4" spans="1:29">
      <c r="A25" s="30" t="s">
        <v>49</v>
      </c>
      <c r="B25" s="30" t="s">
        <v>1385</v>
      </c>
      <c r="C25" s="30" t="s">
        <v>1386</v>
      </c>
      <c r="D25" s="31" t="s">
        <v>1387</v>
      </c>
      <c r="E25" s="31" t="s">
        <v>1357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4</v>
      </c>
      <c r="L25" s="42" t="s">
        <v>209</v>
      </c>
      <c r="M25" s="40">
        <v>45993</v>
      </c>
      <c r="N25" s="41" t="s">
        <v>4</v>
      </c>
      <c r="O25" s="42" t="s">
        <v>209</v>
      </c>
      <c r="P25" s="40">
        <v>45995</v>
      </c>
      <c r="Q25" s="41" t="s">
        <v>4</v>
      </c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92.4" outlineLevel="1" spans="1:29">
      <c r="A26" s="30" t="s">
        <v>49</v>
      </c>
      <c r="B26" s="30" t="s">
        <v>1388</v>
      </c>
      <c r="C26" s="30" t="s">
        <v>1389</v>
      </c>
      <c r="D26" s="31" t="s">
        <v>1390</v>
      </c>
      <c r="E26" s="31" t="s">
        <v>1391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4</v>
      </c>
      <c r="L26" s="42" t="s">
        <v>209</v>
      </c>
      <c r="M26" s="40">
        <v>45993</v>
      </c>
      <c r="N26" s="41" t="s">
        <v>4</v>
      </c>
      <c r="O26" s="42" t="s">
        <v>209</v>
      </c>
      <c r="P26" s="40">
        <v>45995</v>
      </c>
      <c r="Q26" s="41" t="s">
        <v>4</v>
      </c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79.2" outlineLevel="1" spans="1:29">
      <c r="A27" s="30" t="s">
        <v>49</v>
      </c>
      <c r="B27" s="30" t="s">
        <v>1392</v>
      </c>
      <c r="C27" s="30" t="s">
        <v>1393</v>
      </c>
      <c r="D27" s="31" t="s">
        <v>1394</v>
      </c>
      <c r="E27" s="31" t="s">
        <v>1361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4</v>
      </c>
      <c r="L27" s="42" t="s">
        <v>209</v>
      </c>
      <c r="M27" s="40">
        <v>45993</v>
      </c>
      <c r="N27" s="41" t="s">
        <v>4</v>
      </c>
      <c r="O27" s="42" t="s">
        <v>209</v>
      </c>
      <c r="P27" s="40">
        <v>45995</v>
      </c>
      <c r="Q27" s="41" t="s">
        <v>4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52.8" outlineLevel="1" spans="1:29">
      <c r="A28" s="30" t="s">
        <v>50</v>
      </c>
      <c r="B28" s="30" t="s">
        <v>1395</v>
      </c>
      <c r="C28" s="30" t="s">
        <v>1396</v>
      </c>
      <c r="D28" s="31" t="s">
        <v>1397</v>
      </c>
      <c r="E28" s="31" t="s">
        <v>1398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4</v>
      </c>
      <c r="L28" s="42" t="s">
        <v>209</v>
      </c>
      <c r="M28" s="40">
        <v>45993</v>
      </c>
      <c r="N28" s="41" t="s">
        <v>4</v>
      </c>
      <c r="O28" s="42" t="s">
        <v>209</v>
      </c>
      <c r="P28" s="40">
        <v>45995</v>
      </c>
      <c r="Q28" s="41" t="s">
        <v>4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52.8" outlineLevel="1" spans="1:29">
      <c r="A29" s="30" t="s">
        <v>50</v>
      </c>
      <c r="B29" s="30" t="s">
        <v>1399</v>
      </c>
      <c r="C29" s="30" t="s">
        <v>1400</v>
      </c>
      <c r="D29" s="31" t="s">
        <v>1401</v>
      </c>
      <c r="E29" s="31" t="s">
        <v>1402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4</v>
      </c>
      <c r="L29" s="42" t="s">
        <v>209</v>
      </c>
      <c r="M29" s="40">
        <v>45993</v>
      </c>
      <c r="N29" s="41" t="s">
        <v>4</v>
      </c>
      <c r="O29" s="42" t="s">
        <v>209</v>
      </c>
      <c r="P29" s="40">
        <v>45995</v>
      </c>
      <c r="Q29" s="41" t="s">
        <v>4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52.8" outlineLevel="1" spans="1:29">
      <c r="A30" s="30" t="s">
        <v>50</v>
      </c>
      <c r="B30" s="30" t="s">
        <v>1403</v>
      </c>
      <c r="C30" s="30" t="s">
        <v>1404</v>
      </c>
      <c r="D30" s="31" t="s">
        <v>1405</v>
      </c>
      <c r="E30" s="31" t="s">
        <v>1406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4</v>
      </c>
      <c r="L30" s="42" t="s">
        <v>209</v>
      </c>
      <c r="M30" s="40">
        <v>45993</v>
      </c>
      <c r="N30" s="41" t="s">
        <v>4</v>
      </c>
      <c r="O30" s="42" t="s">
        <v>209</v>
      </c>
      <c r="P30" s="40">
        <v>45995</v>
      </c>
      <c r="Q30" s="41" t="s">
        <v>4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52.8" outlineLevel="1" spans="1:29">
      <c r="A31" s="30" t="s">
        <v>50</v>
      </c>
      <c r="B31" s="30" t="s">
        <v>1407</v>
      </c>
      <c r="C31" s="30" t="s">
        <v>1408</v>
      </c>
      <c r="D31" s="31" t="s">
        <v>1397</v>
      </c>
      <c r="E31" s="31" t="s">
        <v>1409</v>
      </c>
      <c r="F31" s="30" t="s">
        <v>237</v>
      </c>
      <c r="G31" s="32" t="s">
        <v>209</v>
      </c>
      <c r="H31" s="33"/>
      <c r="I31" s="33"/>
      <c r="J31" s="40">
        <v>45991</v>
      </c>
      <c r="K31" s="41" t="s">
        <v>4</v>
      </c>
      <c r="L31" s="42" t="s">
        <v>209</v>
      </c>
      <c r="M31" s="40">
        <v>45993</v>
      </c>
      <c r="N31" s="41" t="s">
        <v>4</v>
      </c>
      <c r="O31" s="42" t="s">
        <v>209</v>
      </c>
      <c r="P31" s="40">
        <v>45995</v>
      </c>
      <c r="Q31" s="41" t="s">
        <v>4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356.4" outlineLevel="1" spans="1:29">
      <c r="A32" s="30" t="s">
        <v>51</v>
      </c>
      <c r="B32" s="30" t="s">
        <v>1410</v>
      </c>
      <c r="C32" s="30" t="s">
        <v>1411</v>
      </c>
      <c r="D32" s="31" t="s">
        <v>254</v>
      </c>
      <c r="E32" s="31" t="s">
        <v>1412</v>
      </c>
      <c r="F32" s="30" t="s">
        <v>237</v>
      </c>
      <c r="G32" s="32" t="s">
        <v>209</v>
      </c>
      <c r="H32" s="33"/>
      <c r="I32" s="33"/>
      <c r="J32" s="40">
        <v>45991</v>
      </c>
      <c r="K32" s="41" t="s">
        <v>4</v>
      </c>
      <c r="L32" s="42" t="s">
        <v>209</v>
      </c>
      <c r="M32" s="40">
        <v>45993</v>
      </c>
      <c r="N32" s="41" t="s">
        <v>4</v>
      </c>
      <c r="O32" s="42" t="s">
        <v>209</v>
      </c>
      <c r="P32" s="40">
        <v>45995</v>
      </c>
      <c r="Q32" s="41" t="s">
        <v>4</v>
      </c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18.8" outlineLevel="1" spans="1:29">
      <c r="A33" s="30" t="s">
        <v>51</v>
      </c>
      <c r="B33" s="30" t="s">
        <v>1413</v>
      </c>
      <c r="C33" s="30" t="s">
        <v>1414</v>
      </c>
      <c r="D33" s="31" t="s">
        <v>254</v>
      </c>
      <c r="E33" s="31" t="s">
        <v>1415</v>
      </c>
      <c r="F33" s="30" t="s">
        <v>237</v>
      </c>
      <c r="G33" s="32" t="s">
        <v>209</v>
      </c>
      <c r="H33" s="33"/>
      <c r="I33" s="33"/>
      <c r="J33" s="40">
        <v>45991</v>
      </c>
      <c r="K33" s="41" t="s">
        <v>4</v>
      </c>
      <c r="L33" s="42" t="s">
        <v>209</v>
      </c>
      <c r="M33" s="40">
        <v>45993</v>
      </c>
      <c r="N33" s="41" t="s">
        <v>4</v>
      </c>
      <c r="O33" s="42" t="s">
        <v>209</v>
      </c>
      <c r="P33" s="40">
        <v>45995</v>
      </c>
      <c r="Q33" s="41" t="s">
        <v>4</v>
      </c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3.8" outlineLevel="1" spans="1:29">
      <c r="A34" s="30"/>
      <c r="B34" s="30"/>
      <c r="C34" s="30"/>
      <c r="D34" s="31"/>
      <c r="E34" s="31"/>
      <c r="F34" s="30"/>
      <c r="G34" s="32"/>
      <c r="H34" s="33"/>
      <c r="I34" s="33"/>
      <c r="J34" s="40"/>
      <c r="K34" s="41"/>
      <c r="L34" s="42"/>
      <c r="M34" s="40"/>
      <c r="N34" s="41"/>
      <c r="O34" s="42"/>
      <c r="P34" s="40"/>
      <c r="Q34" s="41"/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3.8" outlineLevel="1" spans="1:29">
      <c r="A35" s="30"/>
      <c r="B35" s="30"/>
      <c r="C35" s="30"/>
      <c r="D35" s="31"/>
      <c r="E35" s="31"/>
      <c r="F35" s="30"/>
      <c r="G35" s="32"/>
      <c r="H35" s="33"/>
      <c r="I35" s="33"/>
      <c r="J35" s="40"/>
      <c r="K35" s="41"/>
      <c r="L35" s="42"/>
      <c r="M35" s="40"/>
      <c r="N35" s="41"/>
      <c r="O35" s="42"/>
      <c r="P35" s="40"/>
      <c r="Q35" s="41"/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3.8" outlineLevel="1" spans="1:29">
      <c r="A36" s="30"/>
      <c r="B36" s="30"/>
      <c r="C36" s="30"/>
      <c r="D36" s="31"/>
      <c r="E36" s="31"/>
      <c r="F36" s="30"/>
      <c r="G36" s="32"/>
      <c r="H36" s="33"/>
      <c r="I36" s="33"/>
      <c r="J36" s="40"/>
      <c r="K36" s="41"/>
      <c r="L36" s="42"/>
      <c r="M36" s="40"/>
      <c r="N36" s="41"/>
      <c r="O36" s="42"/>
      <c r="P36" s="40"/>
      <c r="Q36" s="41"/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3.8" outlineLevel="1" spans="1:29">
      <c r="A37" s="30"/>
      <c r="B37" s="30"/>
      <c r="C37" s="30"/>
      <c r="D37" s="31"/>
      <c r="E37" s="31"/>
      <c r="F37" s="30"/>
      <c r="G37" s="32"/>
      <c r="H37" s="33"/>
      <c r="I37" s="33"/>
      <c r="J37" s="40"/>
      <c r="K37" s="41"/>
      <c r="L37" s="42"/>
      <c r="M37" s="40"/>
      <c r="N37" s="41"/>
      <c r="O37" s="42"/>
      <c r="P37" s="40"/>
      <c r="Q37" s="41"/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8" outlineLevel="1" spans="1:29">
      <c r="A38" s="30"/>
      <c r="B38" s="30"/>
      <c r="C38" s="30"/>
      <c r="D38" s="31"/>
      <c r="E38" s="31"/>
      <c r="F38" s="30"/>
      <c r="G38" s="32"/>
      <c r="H38" s="33"/>
      <c r="I38" s="33"/>
      <c r="J38" s="42"/>
      <c r="K38" s="41"/>
      <c r="L38" s="42"/>
      <c r="M38" s="42"/>
      <c r="N38" s="41"/>
      <c r="O38" s="42"/>
      <c r="P38" s="42"/>
      <c r="Q38" s="41"/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8" outlineLevel="1" spans="1:29">
      <c r="A39" s="30"/>
      <c r="B39" s="30"/>
      <c r="C39" s="30"/>
      <c r="D39" s="31"/>
      <c r="E39" s="31"/>
      <c r="F39" s="30"/>
      <c r="G39" s="32"/>
      <c r="H39" s="33"/>
      <c r="I39" s="33"/>
      <c r="J39" s="42"/>
      <c r="K39" s="41"/>
      <c r="L39" s="42"/>
      <c r="M39" s="42"/>
      <c r="N39" s="41"/>
      <c r="O39" s="42"/>
      <c r="P39" s="42"/>
      <c r="Q39" s="41"/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8" outlineLevel="1" spans="1:29">
      <c r="A40" s="30"/>
      <c r="B40" s="30"/>
      <c r="C40" s="30"/>
      <c r="D40" s="31"/>
      <c r="E40" s="31"/>
      <c r="F40" s="30"/>
      <c r="G40" s="32"/>
      <c r="H40" s="33"/>
      <c r="I40" s="33"/>
      <c r="J40" s="42"/>
      <c r="K40" s="41"/>
      <c r="L40" s="42"/>
      <c r="M40" s="42"/>
      <c r="N40" s="41"/>
      <c r="O40" s="42"/>
      <c r="P40" s="42"/>
      <c r="Q40" s="41"/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8" outlineLevel="1" spans="1:29">
      <c r="A41" s="30"/>
      <c r="B41" s="30"/>
      <c r="C41" s="30"/>
      <c r="D41" s="31"/>
      <c r="E41" s="31"/>
      <c r="F41" s="30"/>
      <c r="G41" s="32"/>
      <c r="H41" s="33"/>
      <c r="I41" s="33"/>
      <c r="J41" s="42"/>
      <c r="K41" s="41"/>
      <c r="L41" s="42"/>
      <c r="M41" s="42"/>
      <c r="N41" s="41"/>
      <c r="O41" s="42"/>
      <c r="P41" s="42"/>
      <c r="Q41" s="41"/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8" outlineLevel="1" spans="1:29">
      <c r="A42" s="30"/>
      <c r="B42" s="30"/>
      <c r="C42" s="30"/>
      <c r="D42" s="31"/>
      <c r="E42" s="31"/>
      <c r="F42" s="30"/>
      <c r="G42" s="32"/>
      <c r="H42" s="33"/>
      <c r="I42" s="33"/>
      <c r="J42" s="42"/>
      <c r="K42" s="41"/>
      <c r="L42" s="42"/>
      <c r="M42" s="42"/>
      <c r="N42" s="41"/>
      <c r="O42" s="42"/>
      <c r="P42" s="42"/>
      <c r="Q42" s="41"/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8" outlineLevel="1" spans="1:29">
      <c r="A43" s="30"/>
      <c r="B43" s="30"/>
      <c r="C43" s="30"/>
      <c r="D43" s="31"/>
      <c r="E43" s="31"/>
      <c r="F43" s="30"/>
      <c r="G43" s="32"/>
      <c r="H43" s="33"/>
      <c r="I43" s="33"/>
      <c r="J43" s="42"/>
      <c r="K43" s="41"/>
      <c r="L43" s="42"/>
      <c r="M43" s="42"/>
      <c r="N43" s="41"/>
      <c r="O43" s="42"/>
      <c r="P43" s="42"/>
      <c r="Q43" s="41"/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8" outlineLevel="1" spans="1:29">
      <c r="A44" s="30"/>
      <c r="B44" s="30"/>
      <c r="C44" s="30"/>
      <c r="D44" s="31"/>
      <c r="E44" s="31"/>
      <c r="F44" s="30"/>
      <c r="G44" s="32"/>
      <c r="H44" s="33"/>
      <c r="I44" s="33"/>
      <c r="J44" s="42"/>
      <c r="K44" s="41"/>
      <c r="L44" s="42"/>
      <c r="M44" s="42"/>
      <c r="N44" s="41"/>
      <c r="O44" s="42"/>
      <c r="P44" s="42"/>
      <c r="Q44" s="41"/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8" outlineLevel="1" spans="1:29">
      <c r="A45" s="30"/>
      <c r="B45" s="30"/>
      <c r="C45" s="30"/>
      <c r="D45" s="31"/>
      <c r="E45" s="31"/>
      <c r="F45" s="30"/>
      <c r="G45" s="32"/>
      <c r="H45" s="33"/>
      <c r="I45" s="33"/>
      <c r="J45" s="42"/>
      <c r="K45" s="41"/>
      <c r="L45" s="42"/>
      <c r="M45" s="42"/>
      <c r="N45" s="41"/>
      <c r="O45" s="42"/>
      <c r="P45" s="42"/>
      <c r="Q45" s="41"/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8" outlineLevel="1" spans="1:29">
      <c r="A46" s="30"/>
      <c r="B46" s="30"/>
      <c r="C46" s="30"/>
      <c r="D46" s="31"/>
      <c r="E46" s="31"/>
      <c r="F46" s="30"/>
      <c r="G46" s="32"/>
      <c r="H46" s="33"/>
      <c r="I46" s="33"/>
      <c r="J46" s="42"/>
      <c r="K46" s="41"/>
      <c r="L46" s="42"/>
      <c r="M46" s="42"/>
      <c r="N46" s="41"/>
      <c r="O46" s="42"/>
      <c r="P46" s="42"/>
      <c r="Q46" s="41"/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8" outlineLevel="1" spans="1:29">
      <c r="A47" s="30"/>
      <c r="B47" s="30"/>
      <c r="C47" s="30"/>
      <c r="D47" s="31"/>
      <c r="E47" s="31"/>
      <c r="F47" s="30"/>
      <c r="G47" s="32"/>
      <c r="H47" s="33"/>
      <c r="I47" s="33"/>
      <c r="J47" s="42"/>
      <c r="K47" s="41"/>
      <c r="L47" s="42"/>
      <c r="M47" s="42"/>
      <c r="N47" s="41"/>
      <c r="O47" s="42"/>
      <c r="P47" s="42"/>
      <c r="Q47" s="41"/>
      <c r="R47" s="30"/>
      <c r="S47" s="43"/>
      <c r="T47" s="53"/>
      <c r="U47" s="43"/>
      <c r="V47" s="43"/>
      <c r="W47" s="43"/>
      <c r="X47" s="43"/>
      <c r="Y47" s="43"/>
      <c r="Z47" s="43"/>
      <c r="AA47" s="43"/>
      <c r="AB47" s="43"/>
      <c r="AC47" s="43"/>
    </row>
    <row r="48" ht="13.8" outlineLevel="1" spans="1:29">
      <c r="A48" s="30"/>
      <c r="B48" s="30"/>
      <c r="C48" s="30"/>
      <c r="D48" s="31"/>
      <c r="E48" s="31"/>
      <c r="F48" s="30"/>
      <c r="G48" s="32"/>
      <c r="H48" s="33"/>
      <c r="I48" s="33"/>
      <c r="J48" s="42"/>
      <c r="K48" s="41"/>
      <c r="L48" s="42"/>
      <c r="M48" s="42"/>
      <c r="N48" s="41"/>
      <c r="O48" s="42"/>
      <c r="P48" s="42"/>
      <c r="Q48" s="41"/>
      <c r="R48" s="30"/>
      <c r="S48" s="43"/>
      <c r="T48" s="53"/>
      <c r="U48" s="43"/>
      <c r="V48" s="43"/>
      <c r="W48" s="43"/>
      <c r="X48" s="43"/>
      <c r="Y48" s="43"/>
      <c r="Z48" s="43"/>
      <c r="AA48" s="43"/>
      <c r="AB48" s="43"/>
      <c r="AC48" s="43"/>
    </row>
    <row r="49" ht="13.8" spans="1:29">
      <c r="A49" s="30"/>
      <c r="B49" s="30"/>
      <c r="C49" s="30"/>
      <c r="D49" s="31"/>
      <c r="E49" s="31"/>
      <c r="F49" s="30"/>
      <c r="G49" s="32"/>
      <c r="H49" s="33"/>
      <c r="I49" s="33"/>
      <c r="J49" s="42"/>
      <c r="K49" s="41"/>
      <c r="L49" s="42"/>
      <c r="M49" s="42"/>
      <c r="N49" s="41"/>
      <c r="O49" s="42"/>
      <c r="P49" s="42"/>
      <c r="Q49" s="41"/>
      <c r="R49" s="30"/>
      <c r="S49" s="47"/>
      <c r="T49" s="51"/>
      <c r="U49" s="47"/>
      <c r="V49" s="47"/>
      <c r="W49" s="47"/>
      <c r="X49" s="47"/>
      <c r="Y49" s="47"/>
      <c r="Z49" s="47"/>
      <c r="AA49" s="47"/>
      <c r="AB49" s="47"/>
      <c r="AC49" s="47"/>
    </row>
    <row r="50" ht="13.8" spans="1:29">
      <c r="A50" s="30"/>
      <c r="B50" s="30"/>
      <c r="C50" s="30"/>
      <c r="D50" s="31"/>
      <c r="E50" s="31"/>
      <c r="F50" s="30"/>
      <c r="G50" s="32"/>
      <c r="H50" s="33"/>
      <c r="I50" s="33"/>
      <c r="J50" s="42"/>
      <c r="K50" s="41"/>
      <c r="L50" s="42"/>
      <c r="M50" s="42"/>
      <c r="N50" s="41"/>
      <c r="O50" s="42"/>
      <c r="P50" s="42"/>
      <c r="Q50" s="41"/>
      <c r="R50" s="30"/>
      <c r="S50" s="54"/>
      <c r="T50" s="55"/>
      <c r="U50" s="54"/>
      <c r="V50" s="54"/>
      <c r="W50" s="54"/>
      <c r="X50" s="54"/>
      <c r="Y50" s="54"/>
      <c r="Z50" s="54"/>
      <c r="AA50" s="54"/>
      <c r="AB50" s="54"/>
      <c r="AC50" s="54"/>
    </row>
    <row r="51" ht="13.8" spans="1:29">
      <c r="A51" s="30"/>
      <c r="B51" s="30"/>
      <c r="C51" s="30"/>
      <c r="D51" s="31"/>
      <c r="E51" s="31"/>
      <c r="F51" s="30"/>
      <c r="G51" s="32"/>
      <c r="H51" s="33"/>
      <c r="I51" s="33"/>
      <c r="J51" s="42"/>
      <c r="K51" s="41"/>
      <c r="L51" s="42"/>
      <c r="M51" s="42"/>
      <c r="N51" s="41"/>
      <c r="O51" s="42"/>
      <c r="P51" s="42"/>
      <c r="Q51" s="41"/>
      <c r="R51" s="30"/>
      <c r="S51" s="54"/>
      <c r="T51" s="55"/>
      <c r="U51" s="54"/>
      <c r="V51" s="54"/>
      <c r="W51" s="54"/>
      <c r="X51" s="54"/>
      <c r="Y51" s="54"/>
      <c r="Z51" s="54"/>
      <c r="AA51" s="54"/>
      <c r="AB51" s="54"/>
      <c r="AC51" s="54"/>
    </row>
    <row r="52" ht="13.8" outlineLevel="1" spans="1:29">
      <c r="A52" s="30"/>
      <c r="B52" s="30"/>
      <c r="C52" s="30"/>
      <c r="D52" s="31"/>
      <c r="E52" s="31"/>
      <c r="F52" s="30"/>
      <c r="G52" s="32"/>
      <c r="H52" s="33"/>
      <c r="I52" s="33"/>
      <c r="J52" s="42"/>
      <c r="K52" s="41"/>
      <c r="L52" s="42"/>
      <c r="M52" s="42"/>
      <c r="N52" s="41"/>
      <c r="O52" s="42"/>
      <c r="P52" s="42"/>
      <c r="Q52" s="41"/>
      <c r="R52" s="30"/>
      <c r="S52" s="37"/>
      <c r="T52" s="56"/>
      <c r="U52" s="37"/>
      <c r="V52" s="37"/>
      <c r="W52" s="37"/>
      <c r="X52" s="37"/>
      <c r="Y52" s="37"/>
      <c r="Z52" s="37"/>
      <c r="AA52" s="37"/>
      <c r="AB52" s="37"/>
      <c r="AC52" s="37"/>
    </row>
    <row r="53" ht="13.8" outlineLevel="1" spans="1:29">
      <c r="A53" s="30"/>
      <c r="B53" s="30"/>
      <c r="C53" s="30"/>
      <c r="D53" s="31"/>
      <c r="E53" s="31"/>
      <c r="F53" s="30"/>
      <c r="G53" s="32"/>
      <c r="H53" s="33"/>
      <c r="I53" s="33"/>
      <c r="J53" s="42"/>
      <c r="K53" s="41"/>
      <c r="L53" s="42"/>
      <c r="M53" s="42"/>
      <c r="N53" s="41"/>
      <c r="O53" s="42"/>
      <c r="P53" s="42"/>
      <c r="Q53" s="41"/>
      <c r="R53" s="30"/>
      <c r="S53" s="37"/>
      <c r="T53" s="56"/>
      <c r="U53" s="37"/>
      <c r="V53" s="37"/>
      <c r="W53" s="37"/>
      <c r="X53" s="37"/>
      <c r="Y53" s="37"/>
      <c r="Z53" s="37"/>
      <c r="AA53" s="37"/>
      <c r="AB53" s="37"/>
      <c r="AC53" s="37"/>
    </row>
    <row r="54" ht="64.5" customHeight="1" outlineLevel="1" spans="1:29">
      <c r="A54" s="62"/>
      <c r="B54" s="62"/>
      <c r="C54" s="62"/>
      <c r="D54" s="63"/>
      <c r="E54" s="63"/>
      <c r="F54" s="62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62"/>
      <c r="S54" s="37"/>
      <c r="T54" s="57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62"/>
      <c r="B55" s="62"/>
      <c r="C55" s="62"/>
      <c r="D55" s="63"/>
      <c r="E55" s="63"/>
      <c r="F55" s="62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67"/>
      <c r="S55" s="54"/>
      <c r="T55" s="55"/>
      <c r="U55" s="54"/>
      <c r="V55" s="54"/>
      <c r="W55" s="54"/>
      <c r="X55" s="54"/>
      <c r="Y55" s="54"/>
      <c r="Z55" s="54"/>
      <c r="AA55" s="54"/>
      <c r="AB55" s="54"/>
      <c r="AC55" s="54"/>
    </row>
    <row r="56" ht="64.5" customHeight="1" outlineLevel="1" spans="1:29">
      <c r="A56" s="62"/>
      <c r="B56" s="62"/>
      <c r="C56" s="62"/>
      <c r="D56" s="63"/>
      <c r="E56" s="63"/>
      <c r="F56" s="62"/>
      <c r="G56" s="1"/>
      <c r="H56" s="64"/>
      <c r="I56" s="64"/>
      <c r="J56" s="1"/>
      <c r="K56" s="1"/>
      <c r="L56" s="1"/>
      <c r="M56" s="1"/>
      <c r="N56" s="1"/>
      <c r="O56" s="1"/>
      <c r="P56" s="1"/>
      <c r="Q56" s="1"/>
      <c r="R56" s="67"/>
      <c r="S56" s="37"/>
      <c r="T56" s="56"/>
      <c r="U56" s="37"/>
      <c r="V56" s="37"/>
      <c r="W56" s="37"/>
      <c r="X56" s="37"/>
      <c r="Y56" s="37"/>
      <c r="Z56" s="37"/>
      <c r="AA56" s="37"/>
      <c r="AB56" s="37"/>
      <c r="AC56" s="37"/>
    </row>
    <row r="57" ht="64.5" customHeight="1" spans="1:29">
      <c r="A57" s="62"/>
      <c r="B57" s="62"/>
      <c r="C57" s="62"/>
      <c r="D57" s="65"/>
      <c r="E57" s="65"/>
      <c r="F57" s="66"/>
      <c r="G57" s="1"/>
      <c r="H57" s="64"/>
      <c r="I57" s="64"/>
      <c r="J57" s="1"/>
      <c r="K57" s="1"/>
      <c r="L57" s="1"/>
      <c r="M57" s="1"/>
      <c r="N57" s="1"/>
      <c r="O57" s="1"/>
      <c r="P57" s="1"/>
      <c r="Q57" s="1"/>
      <c r="R57" s="66"/>
      <c r="S57" s="37"/>
      <c r="T57" s="57"/>
      <c r="U57" s="37"/>
      <c r="V57" s="37"/>
      <c r="W57" s="37"/>
      <c r="X57" s="37"/>
      <c r="Y57" s="37"/>
      <c r="Z57" s="37"/>
      <c r="AA57" s="37"/>
      <c r="AB57" s="37"/>
      <c r="AC57" s="37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37"/>
      <c r="C228" s="38"/>
      <c r="D228" s="39"/>
      <c r="E228" s="39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37"/>
      <c r="C229" s="38"/>
      <c r="D229" s="39"/>
      <c r="E229" s="39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2.75" customHeight="1" spans="1:29">
      <c r="A252" s="37"/>
      <c r="B252" s="43"/>
      <c r="C252" s="58"/>
      <c r="D252" s="59"/>
      <c r="E252" s="59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2.75" customHeight="1" spans="1:29">
      <c r="A253" s="37"/>
      <c r="B253" s="43"/>
      <c r="C253" s="58"/>
      <c r="D253" s="59"/>
      <c r="E253" s="59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7:H57 G11:G56 H2:H3 L11:L57 M2:M3 O11:O5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26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43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COUNTA(B11:B960)-COUNTIF($N11:$N960,"Skip")</f>
        <v>21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COUNTIF($G11:$G960,C5)</f>
        <v>21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COUNTIF($L11:$L960,C5)</f>
        <v>21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COUNTIF($O11:$O960,C5)</f>
        <v>21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52.8" spans="1:29">
      <c r="A11" s="30" t="s">
        <v>42</v>
      </c>
      <c r="B11" s="30" t="s">
        <v>1330</v>
      </c>
      <c r="C11" s="30" t="s">
        <v>1416</v>
      </c>
      <c r="D11" s="31" t="s">
        <v>1417</v>
      </c>
      <c r="E11" s="31" t="s">
        <v>1418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4</v>
      </c>
      <c r="L11" s="42" t="s">
        <v>209</v>
      </c>
      <c r="M11" s="40">
        <v>45993</v>
      </c>
      <c r="N11" s="41" t="s">
        <v>4</v>
      </c>
      <c r="O11" s="42" t="s">
        <v>209</v>
      </c>
      <c r="P11" s="40">
        <v>45995</v>
      </c>
      <c r="Q11" s="41" t="s">
        <v>4</v>
      </c>
      <c r="R11" s="4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52.8" spans="1:29">
      <c r="A12" s="30" t="s">
        <v>42</v>
      </c>
      <c r="B12" s="30" t="s">
        <v>1334</v>
      </c>
      <c r="C12" s="30" t="s">
        <v>1419</v>
      </c>
      <c r="D12" s="31" t="s">
        <v>1420</v>
      </c>
      <c r="E12" s="31" t="s">
        <v>1418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4</v>
      </c>
      <c r="L12" s="42" t="s">
        <v>209</v>
      </c>
      <c r="M12" s="40">
        <v>45993</v>
      </c>
      <c r="N12" s="41" t="s">
        <v>4</v>
      </c>
      <c r="O12" s="42" t="s">
        <v>209</v>
      </c>
      <c r="P12" s="40">
        <v>45995</v>
      </c>
      <c r="Q12" s="41" t="s">
        <v>4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66" spans="1:29">
      <c r="A13" s="30" t="s">
        <v>42</v>
      </c>
      <c r="B13" s="30" t="s">
        <v>1338</v>
      </c>
      <c r="C13" s="30" t="s">
        <v>1421</v>
      </c>
      <c r="D13" s="31" t="s">
        <v>1422</v>
      </c>
      <c r="E13" s="31" t="s">
        <v>1418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4</v>
      </c>
      <c r="L13" s="42" t="s">
        <v>209</v>
      </c>
      <c r="M13" s="40">
        <v>45993</v>
      </c>
      <c r="N13" s="41" t="s">
        <v>4</v>
      </c>
      <c r="O13" s="42" t="s">
        <v>209</v>
      </c>
      <c r="P13" s="40">
        <v>45995</v>
      </c>
      <c r="Q13" s="41" t="s">
        <v>4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52.8" spans="1:29">
      <c r="A14" s="30" t="s">
        <v>42</v>
      </c>
      <c r="B14" s="30" t="s">
        <v>1342</v>
      </c>
      <c r="C14" s="30" t="s">
        <v>1423</v>
      </c>
      <c r="D14" s="31" t="s">
        <v>1424</v>
      </c>
      <c r="E14" s="31" t="s">
        <v>1425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4</v>
      </c>
      <c r="L14" s="42" t="s">
        <v>209</v>
      </c>
      <c r="M14" s="40">
        <v>45993</v>
      </c>
      <c r="N14" s="41" t="s">
        <v>4</v>
      </c>
      <c r="O14" s="42" t="s">
        <v>209</v>
      </c>
      <c r="P14" s="40">
        <v>45995</v>
      </c>
      <c r="Q14" s="41" t="s">
        <v>4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52.8" spans="1:29">
      <c r="A15" s="30" t="s">
        <v>42</v>
      </c>
      <c r="B15" s="30" t="s">
        <v>1426</v>
      </c>
      <c r="C15" s="30" t="s">
        <v>1427</v>
      </c>
      <c r="D15" s="31" t="s">
        <v>1428</v>
      </c>
      <c r="E15" s="31" t="s">
        <v>1425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4</v>
      </c>
      <c r="L15" s="42" t="s">
        <v>209</v>
      </c>
      <c r="M15" s="40">
        <v>45993</v>
      </c>
      <c r="N15" s="41" t="s">
        <v>4</v>
      </c>
      <c r="O15" s="42" t="s">
        <v>209</v>
      </c>
      <c r="P15" s="40">
        <v>45995</v>
      </c>
      <c r="Q15" s="41" t="s">
        <v>4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52.8" spans="1:29">
      <c r="A16" s="30" t="s">
        <v>42</v>
      </c>
      <c r="B16" s="30" t="s">
        <v>1429</v>
      </c>
      <c r="C16" s="30" t="s">
        <v>1430</v>
      </c>
      <c r="D16" s="31" t="s">
        <v>1431</v>
      </c>
      <c r="E16" s="31" t="s">
        <v>1425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4</v>
      </c>
      <c r="L16" s="42" t="s">
        <v>209</v>
      </c>
      <c r="M16" s="40">
        <v>45993</v>
      </c>
      <c r="N16" s="41" t="s">
        <v>4</v>
      </c>
      <c r="O16" s="42" t="s">
        <v>209</v>
      </c>
      <c r="P16" s="40">
        <v>45995</v>
      </c>
      <c r="Q16" s="41" t="s">
        <v>4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79.2" spans="1:29">
      <c r="A17" s="30" t="s">
        <v>42</v>
      </c>
      <c r="B17" s="30" t="s">
        <v>1432</v>
      </c>
      <c r="C17" s="30" t="s">
        <v>1433</v>
      </c>
      <c r="D17" s="31" t="s">
        <v>1434</v>
      </c>
      <c r="E17" s="31" t="s">
        <v>1418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4</v>
      </c>
      <c r="L17" s="42" t="s">
        <v>209</v>
      </c>
      <c r="M17" s="40">
        <v>45993</v>
      </c>
      <c r="N17" s="41" t="s">
        <v>4</v>
      </c>
      <c r="O17" s="42" t="s">
        <v>209</v>
      </c>
      <c r="P17" s="40">
        <v>45995</v>
      </c>
      <c r="Q17" s="41" t="s">
        <v>4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52.8" spans="1:29">
      <c r="A18" s="30" t="s">
        <v>42</v>
      </c>
      <c r="B18" s="30" t="s">
        <v>1435</v>
      </c>
      <c r="C18" s="30" t="s">
        <v>1436</v>
      </c>
      <c r="D18" s="31" t="s">
        <v>1437</v>
      </c>
      <c r="E18" s="31" t="s">
        <v>1418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4</v>
      </c>
      <c r="L18" s="42" t="s">
        <v>209</v>
      </c>
      <c r="M18" s="40">
        <v>45993</v>
      </c>
      <c r="N18" s="41" t="s">
        <v>4</v>
      </c>
      <c r="O18" s="42" t="s">
        <v>209</v>
      </c>
      <c r="P18" s="40">
        <v>45995</v>
      </c>
      <c r="Q18" s="41" t="s">
        <v>4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198" spans="1:29">
      <c r="A19" s="30" t="s">
        <v>44</v>
      </c>
      <c r="B19" s="30" t="s">
        <v>1346</v>
      </c>
      <c r="C19" s="30" t="s">
        <v>1438</v>
      </c>
      <c r="D19" s="31" t="s">
        <v>1439</v>
      </c>
      <c r="E19" s="31" t="s">
        <v>1440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4</v>
      </c>
      <c r="L19" s="42" t="s">
        <v>209</v>
      </c>
      <c r="M19" s="40">
        <v>45993</v>
      </c>
      <c r="N19" s="41" t="s">
        <v>4</v>
      </c>
      <c r="O19" s="42" t="s">
        <v>209</v>
      </c>
      <c r="P19" s="40">
        <v>45995</v>
      </c>
      <c r="Q19" s="41" t="s">
        <v>4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171.6" spans="1:29">
      <c r="A20" s="30" t="s">
        <v>44</v>
      </c>
      <c r="B20" s="30" t="s">
        <v>1350</v>
      </c>
      <c r="C20" s="30" t="s">
        <v>1441</v>
      </c>
      <c r="D20" s="31" t="s">
        <v>1442</v>
      </c>
      <c r="E20" s="31" t="s">
        <v>1443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4</v>
      </c>
      <c r="L20" s="42" t="s">
        <v>209</v>
      </c>
      <c r="M20" s="40">
        <v>45993</v>
      </c>
      <c r="N20" s="41" t="s">
        <v>4</v>
      </c>
      <c r="O20" s="42" t="s">
        <v>209</v>
      </c>
      <c r="P20" s="40">
        <v>45995</v>
      </c>
      <c r="Q20" s="41" t="s">
        <v>4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66" spans="1:29">
      <c r="A21" s="30" t="s">
        <v>44</v>
      </c>
      <c r="B21" s="30" t="s">
        <v>1354</v>
      </c>
      <c r="C21" s="30" t="s">
        <v>1444</v>
      </c>
      <c r="D21" s="31" t="s">
        <v>1445</v>
      </c>
      <c r="E21" s="31" t="s">
        <v>1446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4</v>
      </c>
      <c r="L21" s="42" t="s">
        <v>209</v>
      </c>
      <c r="M21" s="40">
        <v>45993</v>
      </c>
      <c r="N21" s="41" t="s">
        <v>4</v>
      </c>
      <c r="O21" s="42" t="s">
        <v>209</v>
      </c>
      <c r="P21" s="40">
        <v>45995</v>
      </c>
      <c r="Q21" s="41" t="s">
        <v>4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52.8" spans="1:29">
      <c r="A22" s="30" t="s">
        <v>44</v>
      </c>
      <c r="B22" s="30" t="s">
        <v>1358</v>
      </c>
      <c r="C22" s="30" t="s">
        <v>1447</v>
      </c>
      <c r="D22" s="31" t="s">
        <v>1448</v>
      </c>
      <c r="E22" s="31" t="s">
        <v>1449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4</v>
      </c>
      <c r="L22" s="42" t="s">
        <v>209</v>
      </c>
      <c r="M22" s="40">
        <v>45993</v>
      </c>
      <c r="N22" s="41" t="s">
        <v>4</v>
      </c>
      <c r="O22" s="42" t="s">
        <v>209</v>
      </c>
      <c r="P22" s="40">
        <v>45995</v>
      </c>
      <c r="Q22" s="41" t="s">
        <v>4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52.8" spans="1:29">
      <c r="A23" s="30" t="s">
        <v>44</v>
      </c>
      <c r="B23" s="30" t="s">
        <v>1362</v>
      </c>
      <c r="C23" s="30" t="s">
        <v>1450</v>
      </c>
      <c r="D23" s="31" t="s">
        <v>1451</v>
      </c>
      <c r="E23" s="31" t="s">
        <v>1452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4</v>
      </c>
      <c r="L23" s="42" t="s">
        <v>209</v>
      </c>
      <c r="M23" s="40">
        <v>45993</v>
      </c>
      <c r="N23" s="41" t="s">
        <v>4</v>
      </c>
      <c r="O23" s="42" t="s">
        <v>209</v>
      </c>
      <c r="P23" s="40">
        <v>45995</v>
      </c>
      <c r="Q23" s="41" t="s">
        <v>4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52.8" spans="1:29">
      <c r="A24" s="30" t="s">
        <v>44</v>
      </c>
      <c r="B24" s="30" t="s">
        <v>1453</v>
      </c>
      <c r="C24" s="30" t="s">
        <v>1454</v>
      </c>
      <c r="D24" s="31" t="s">
        <v>1455</v>
      </c>
      <c r="E24" s="31" t="s">
        <v>1456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4</v>
      </c>
      <c r="L24" s="42" t="s">
        <v>209</v>
      </c>
      <c r="M24" s="40">
        <v>45993</v>
      </c>
      <c r="N24" s="41" t="s">
        <v>4</v>
      </c>
      <c r="O24" s="42" t="s">
        <v>209</v>
      </c>
      <c r="P24" s="40">
        <v>45995</v>
      </c>
      <c r="Q24" s="41" t="s">
        <v>4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66" spans="1:29">
      <c r="A25" s="30" t="s">
        <v>44</v>
      </c>
      <c r="B25" s="30" t="s">
        <v>1457</v>
      </c>
      <c r="C25" s="30" t="s">
        <v>1458</v>
      </c>
      <c r="D25" s="31" t="s">
        <v>1459</v>
      </c>
      <c r="E25" s="31" t="s">
        <v>1460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4</v>
      </c>
      <c r="L25" s="42" t="s">
        <v>209</v>
      </c>
      <c r="M25" s="40">
        <v>45993</v>
      </c>
      <c r="N25" s="41" t="s">
        <v>4</v>
      </c>
      <c r="O25" s="42" t="s">
        <v>209</v>
      </c>
      <c r="P25" s="40">
        <v>45995</v>
      </c>
      <c r="Q25" s="41" t="s">
        <v>4</v>
      </c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66" outlineLevel="1" spans="1:29">
      <c r="A26" s="30" t="s">
        <v>44</v>
      </c>
      <c r="B26" s="30" t="s">
        <v>1461</v>
      </c>
      <c r="C26" s="30" t="s">
        <v>1462</v>
      </c>
      <c r="D26" s="31" t="s">
        <v>1463</v>
      </c>
      <c r="E26" s="31" t="s">
        <v>1464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4</v>
      </c>
      <c r="L26" s="42" t="s">
        <v>209</v>
      </c>
      <c r="M26" s="40">
        <v>45993</v>
      </c>
      <c r="N26" s="41" t="s">
        <v>4</v>
      </c>
      <c r="O26" s="42" t="s">
        <v>209</v>
      </c>
      <c r="P26" s="40">
        <v>45995</v>
      </c>
      <c r="Q26" s="41" t="s">
        <v>4</v>
      </c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145.2" outlineLevel="1" spans="1:29">
      <c r="A27" s="30" t="s">
        <v>44</v>
      </c>
      <c r="B27" s="30" t="s">
        <v>1465</v>
      </c>
      <c r="C27" s="30" t="s">
        <v>1466</v>
      </c>
      <c r="D27" s="31" t="s">
        <v>1467</v>
      </c>
      <c r="E27" s="31" t="s">
        <v>1468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4</v>
      </c>
      <c r="L27" s="42" t="s">
        <v>209</v>
      </c>
      <c r="M27" s="40">
        <v>45993</v>
      </c>
      <c r="N27" s="41" t="s">
        <v>4</v>
      </c>
      <c r="O27" s="42" t="s">
        <v>209</v>
      </c>
      <c r="P27" s="40">
        <v>45995</v>
      </c>
      <c r="Q27" s="41" t="s">
        <v>4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171.6" outlineLevel="1" spans="1:29">
      <c r="A28" s="30" t="s">
        <v>44</v>
      </c>
      <c r="B28" s="30" t="s">
        <v>1469</v>
      </c>
      <c r="C28" s="30" t="s">
        <v>1470</v>
      </c>
      <c r="D28" s="31" t="s">
        <v>1471</v>
      </c>
      <c r="E28" s="31" t="s">
        <v>1472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4</v>
      </c>
      <c r="L28" s="42" t="s">
        <v>209</v>
      </c>
      <c r="M28" s="40">
        <v>45993</v>
      </c>
      <c r="N28" s="41" t="s">
        <v>4</v>
      </c>
      <c r="O28" s="42" t="s">
        <v>209</v>
      </c>
      <c r="P28" s="40">
        <v>45995</v>
      </c>
      <c r="Q28" s="41" t="s">
        <v>4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118.8" outlineLevel="1" spans="1:29">
      <c r="A29" s="30" t="s">
        <v>44</v>
      </c>
      <c r="B29" s="30" t="s">
        <v>1473</v>
      </c>
      <c r="C29" s="30" t="s">
        <v>1474</v>
      </c>
      <c r="D29" s="31" t="s">
        <v>1475</v>
      </c>
      <c r="E29" s="31" t="s">
        <v>1476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4</v>
      </c>
      <c r="L29" s="42" t="s">
        <v>209</v>
      </c>
      <c r="M29" s="40">
        <v>45993</v>
      </c>
      <c r="N29" s="41" t="s">
        <v>4</v>
      </c>
      <c r="O29" s="42" t="s">
        <v>209</v>
      </c>
      <c r="P29" s="40">
        <v>45995</v>
      </c>
      <c r="Q29" s="41" t="s">
        <v>4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118.8" outlineLevel="1" spans="1:29">
      <c r="A30" s="30" t="s">
        <v>44</v>
      </c>
      <c r="B30" s="30" t="s">
        <v>1477</v>
      </c>
      <c r="C30" s="30" t="s">
        <v>1478</v>
      </c>
      <c r="D30" s="31" t="s">
        <v>1479</v>
      </c>
      <c r="E30" s="31" t="s">
        <v>1480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4</v>
      </c>
      <c r="L30" s="42" t="s">
        <v>209</v>
      </c>
      <c r="M30" s="40">
        <v>45993</v>
      </c>
      <c r="N30" s="41" t="s">
        <v>4</v>
      </c>
      <c r="O30" s="42" t="s">
        <v>209</v>
      </c>
      <c r="P30" s="40">
        <v>45995</v>
      </c>
      <c r="Q30" s="41" t="s">
        <v>4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79.2" outlineLevel="1" spans="1:29">
      <c r="A31" s="30" t="s">
        <v>44</v>
      </c>
      <c r="B31" s="30" t="s">
        <v>1481</v>
      </c>
      <c r="C31" s="30" t="s">
        <v>1482</v>
      </c>
      <c r="D31" s="31" t="s">
        <v>1483</v>
      </c>
      <c r="E31" s="31" t="s">
        <v>1484</v>
      </c>
      <c r="F31" s="30" t="s">
        <v>237</v>
      </c>
      <c r="G31" s="32" t="s">
        <v>209</v>
      </c>
      <c r="H31" s="33"/>
      <c r="I31" s="33"/>
      <c r="J31" s="40">
        <v>45991</v>
      </c>
      <c r="K31" s="41" t="s">
        <v>4</v>
      </c>
      <c r="L31" s="42" t="s">
        <v>209</v>
      </c>
      <c r="M31" s="40">
        <v>45993</v>
      </c>
      <c r="N31" s="41" t="s">
        <v>4</v>
      </c>
      <c r="O31" s="42" t="s">
        <v>209</v>
      </c>
      <c r="P31" s="40">
        <v>45995</v>
      </c>
      <c r="Q31" s="41" t="s">
        <v>4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13.8" outlineLevel="1" spans="1:29">
      <c r="A32" s="30"/>
      <c r="B32" s="30"/>
      <c r="C32" s="30"/>
      <c r="D32" s="31"/>
      <c r="E32" s="31"/>
      <c r="F32" s="30"/>
      <c r="G32" s="32"/>
      <c r="H32" s="33"/>
      <c r="I32" s="33"/>
      <c r="J32" s="40"/>
      <c r="K32" s="41"/>
      <c r="L32" s="42"/>
      <c r="M32" s="40"/>
      <c r="N32" s="41"/>
      <c r="O32" s="42"/>
      <c r="P32" s="40"/>
      <c r="Q32" s="41"/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3.8" outlineLevel="1" spans="1:29">
      <c r="A33" s="30"/>
      <c r="B33" s="30"/>
      <c r="C33" s="30"/>
      <c r="D33" s="31"/>
      <c r="E33" s="31"/>
      <c r="F33" s="30"/>
      <c r="G33" s="32"/>
      <c r="H33" s="33"/>
      <c r="I33" s="33"/>
      <c r="J33" s="40"/>
      <c r="K33" s="41"/>
      <c r="L33" s="42"/>
      <c r="M33" s="40"/>
      <c r="N33" s="41"/>
      <c r="O33" s="42"/>
      <c r="P33" s="40"/>
      <c r="Q33" s="41"/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3.8" outlineLevel="1" spans="1:29">
      <c r="A34" s="30"/>
      <c r="B34" s="30"/>
      <c r="C34" s="30"/>
      <c r="D34" s="31"/>
      <c r="E34" s="31"/>
      <c r="F34" s="30"/>
      <c r="G34" s="32"/>
      <c r="H34" s="33"/>
      <c r="I34" s="33"/>
      <c r="J34" s="40"/>
      <c r="K34" s="41"/>
      <c r="L34" s="42"/>
      <c r="M34" s="40"/>
      <c r="N34" s="41"/>
      <c r="O34" s="42"/>
      <c r="P34" s="40"/>
      <c r="Q34" s="41"/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3.8" outlineLevel="1" spans="1:29">
      <c r="A35" s="30"/>
      <c r="B35" s="30"/>
      <c r="C35" s="30"/>
      <c r="D35" s="31"/>
      <c r="E35" s="31"/>
      <c r="F35" s="30"/>
      <c r="G35" s="32"/>
      <c r="H35" s="33"/>
      <c r="I35" s="33"/>
      <c r="J35" s="40"/>
      <c r="K35" s="41"/>
      <c r="L35" s="42"/>
      <c r="M35" s="40"/>
      <c r="N35" s="41"/>
      <c r="O35" s="42"/>
      <c r="P35" s="40"/>
      <c r="Q35" s="41"/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3.8" outlineLevel="1" spans="1:29">
      <c r="A36" s="30"/>
      <c r="B36" s="30"/>
      <c r="C36" s="30"/>
      <c r="D36" s="31"/>
      <c r="E36" s="31"/>
      <c r="F36" s="30"/>
      <c r="G36" s="32"/>
      <c r="H36" s="33"/>
      <c r="I36" s="33"/>
      <c r="J36" s="40"/>
      <c r="K36" s="41"/>
      <c r="L36" s="42"/>
      <c r="M36" s="40"/>
      <c r="N36" s="41"/>
      <c r="O36" s="42"/>
      <c r="P36" s="40"/>
      <c r="Q36" s="41"/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3.8" outlineLevel="1" spans="1:29">
      <c r="A37" s="30"/>
      <c r="B37" s="30"/>
      <c r="C37" s="30"/>
      <c r="D37" s="31"/>
      <c r="E37" s="31"/>
      <c r="F37" s="30"/>
      <c r="G37" s="32"/>
      <c r="H37" s="33"/>
      <c r="I37" s="33"/>
      <c r="J37" s="40"/>
      <c r="K37" s="41"/>
      <c r="L37" s="42"/>
      <c r="M37" s="40"/>
      <c r="N37" s="41"/>
      <c r="O37" s="42"/>
      <c r="P37" s="40"/>
      <c r="Q37" s="41"/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8" outlineLevel="1" spans="1:29">
      <c r="A38" s="30"/>
      <c r="B38" s="30"/>
      <c r="C38" s="30"/>
      <c r="D38" s="31"/>
      <c r="E38" s="31"/>
      <c r="F38" s="30"/>
      <c r="G38" s="32"/>
      <c r="H38" s="33"/>
      <c r="I38" s="33"/>
      <c r="J38" s="42"/>
      <c r="K38" s="41"/>
      <c r="L38" s="42"/>
      <c r="M38" s="42"/>
      <c r="N38" s="41"/>
      <c r="O38" s="42"/>
      <c r="P38" s="42"/>
      <c r="Q38" s="41"/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8" outlineLevel="1" spans="1:29">
      <c r="A39" s="30"/>
      <c r="B39" s="30"/>
      <c r="C39" s="30"/>
      <c r="D39" s="31"/>
      <c r="E39" s="31"/>
      <c r="F39" s="30"/>
      <c r="G39" s="32"/>
      <c r="H39" s="33"/>
      <c r="I39" s="33"/>
      <c r="J39" s="42"/>
      <c r="K39" s="41"/>
      <c r="L39" s="42"/>
      <c r="M39" s="42"/>
      <c r="N39" s="41"/>
      <c r="O39" s="42"/>
      <c r="P39" s="42"/>
      <c r="Q39" s="41"/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8" outlineLevel="1" spans="1:29">
      <c r="A40" s="30"/>
      <c r="B40" s="30"/>
      <c r="C40" s="30"/>
      <c r="D40" s="31"/>
      <c r="E40" s="31"/>
      <c r="F40" s="30"/>
      <c r="G40" s="32"/>
      <c r="H40" s="33"/>
      <c r="I40" s="33"/>
      <c r="J40" s="42"/>
      <c r="K40" s="41"/>
      <c r="L40" s="42"/>
      <c r="M40" s="42"/>
      <c r="N40" s="41"/>
      <c r="O40" s="42"/>
      <c r="P40" s="42"/>
      <c r="Q40" s="41"/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8" outlineLevel="1" spans="1:29">
      <c r="A41" s="30"/>
      <c r="B41" s="30"/>
      <c r="C41" s="30"/>
      <c r="D41" s="31"/>
      <c r="E41" s="31"/>
      <c r="F41" s="30"/>
      <c r="G41" s="32"/>
      <c r="H41" s="33"/>
      <c r="I41" s="33"/>
      <c r="J41" s="42"/>
      <c r="K41" s="41"/>
      <c r="L41" s="42"/>
      <c r="M41" s="42"/>
      <c r="N41" s="41"/>
      <c r="O41" s="42"/>
      <c r="P41" s="42"/>
      <c r="Q41" s="41"/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8" outlineLevel="1" spans="1:29">
      <c r="A42" s="30"/>
      <c r="B42" s="30"/>
      <c r="C42" s="30"/>
      <c r="D42" s="31"/>
      <c r="E42" s="31"/>
      <c r="F42" s="30"/>
      <c r="G42" s="32"/>
      <c r="H42" s="33"/>
      <c r="I42" s="33"/>
      <c r="J42" s="42"/>
      <c r="K42" s="41"/>
      <c r="L42" s="42"/>
      <c r="M42" s="42"/>
      <c r="N42" s="41"/>
      <c r="O42" s="42"/>
      <c r="P42" s="42"/>
      <c r="Q42" s="41"/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8" outlineLevel="1" spans="1:29">
      <c r="A43" s="30"/>
      <c r="B43" s="30"/>
      <c r="C43" s="30"/>
      <c r="D43" s="31"/>
      <c r="E43" s="31"/>
      <c r="F43" s="30"/>
      <c r="G43" s="32"/>
      <c r="H43" s="33"/>
      <c r="I43" s="33"/>
      <c r="J43" s="42"/>
      <c r="K43" s="41"/>
      <c r="L43" s="42"/>
      <c r="M43" s="42"/>
      <c r="N43" s="41"/>
      <c r="O43" s="42"/>
      <c r="P43" s="42"/>
      <c r="Q43" s="41"/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8" outlineLevel="1" spans="1:29">
      <c r="A44" s="30"/>
      <c r="B44" s="30"/>
      <c r="C44" s="30"/>
      <c r="D44" s="31"/>
      <c r="E44" s="31"/>
      <c r="F44" s="30"/>
      <c r="G44" s="32"/>
      <c r="H44" s="33"/>
      <c r="I44" s="33"/>
      <c r="J44" s="42"/>
      <c r="K44" s="41"/>
      <c r="L44" s="42"/>
      <c r="M44" s="42"/>
      <c r="N44" s="41"/>
      <c r="O44" s="42"/>
      <c r="P44" s="42"/>
      <c r="Q44" s="41"/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8" outlineLevel="1" spans="1:29">
      <c r="A45" s="30"/>
      <c r="B45" s="30"/>
      <c r="C45" s="30"/>
      <c r="D45" s="31"/>
      <c r="E45" s="31"/>
      <c r="F45" s="30"/>
      <c r="G45" s="32"/>
      <c r="H45" s="33"/>
      <c r="I45" s="33"/>
      <c r="J45" s="42"/>
      <c r="K45" s="41"/>
      <c r="L45" s="42"/>
      <c r="M45" s="42"/>
      <c r="N45" s="41"/>
      <c r="O45" s="42"/>
      <c r="P45" s="42"/>
      <c r="Q45" s="41"/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8" outlineLevel="1" spans="1:29">
      <c r="A46" s="30"/>
      <c r="B46" s="30"/>
      <c r="C46" s="30"/>
      <c r="D46" s="31"/>
      <c r="E46" s="31"/>
      <c r="F46" s="30"/>
      <c r="G46" s="32"/>
      <c r="H46" s="33"/>
      <c r="I46" s="33"/>
      <c r="J46" s="42"/>
      <c r="K46" s="41"/>
      <c r="L46" s="42"/>
      <c r="M46" s="42"/>
      <c r="N46" s="41"/>
      <c r="O46" s="42"/>
      <c r="P46" s="42"/>
      <c r="Q46" s="41"/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8" outlineLevel="1" spans="1:29">
      <c r="A47" s="30"/>
      <c r="B47" s="30"/>
      <c r="C47" s="30"/>
      <c r="D47" s="31"/>
      <c r="E47" s="31"/>
      <c r="F47" s="30"/>
      <c r="G47" s="32"/>
      <c r="H47" s="33"/>
      <c r="I47" s="33"/>
      <c r="J47" s="42"/>
      <c r="K47" s="41"/>
      <c r="L47" s="42"/>
      <c r="M47" s="42"/>
      <c r="N47" s="41"/>
      <c r="O47" s="42"/>
      <c r="P47" s="42"/>
      <c r="Q47" s="41"/>
      <c r="R47" s="30"/>
      <c r="S47" s="43"/>
      <c r="T47" s="53"/>
      <c r="U47" s="43"/>
      <c r="V47" s="43"/>
      <c r="W47" s="43"/>
      <c r="X47" s="43"/>
      <c r="Y47" s="43"/>
      <c r="Z47" s="43"/>
      <c r="AA47" s="43"/>
      <c r="AB47" s="43"/>
      <c r="AC47" s="43"/>
    </row>
    <row r="48" ht="13.8" outlineLevel="1" spans="1:29">
      <c r="A48" s="30"/>
      <c r="B48" s="30"/>
      <c r="C48" s="30"/>
      <c r="D48" s="31"/>
      <c r="E48" s="31"/>
      <c r="F48" s="30"/>
      <c r="G48" s="32"/>
      <c r="H48" s="33"/>
      <c r="I48" s="33"/>
      <c r="J48" s="42"/>
      <c r="K48" s="41"/>
      <c r="L48" s="42"/>
      <c r="M48" s="42"/>
      <c r="N48" s="41"/>
      <c r="O48" s="42"/>
      <c r="P48" s="42"/>
      <c r="Q48" s="41"/>
      <c r="R48" s="30"/>
      <c r="S48" s="43"/>
      <c r="T48" s="53"/>
      <c r="U48" s="43"/>
      <c r="V48" s="43"/>
      <c r="W48" s="43"/>
      <c r="X48" s="43"/>
      <c r="Y48" s="43"/>
      <c r="Z48" s="43"/>
      <c r="AA48" s="43"/>
      <c r="AB48" s="43"/>
      <c r="AC48" s="43"/>
    </row>
    <row r="49" ht="13.8" spans="1:29">
      <c r="A49" s="30"/>
      <c r="B49" s="30"/>
      <c r="C49" s="30"/>
      <c r="D49" s="31"/>
      <c r="E49" s="31"/>
      <c r="F49" s="30"/>
      <c r="G49" s="32"/>
      <c r="H49" s="33"/>
      <c r="I49" s="33"/>
      <c r="J49" s="42"/>
      <c r="K49" s="41"/>
      <c r="L49" s="42"/>
      <c r="M49" s="42"/>
      <c r="N49" s="41"/>
      <c r="O49" s="42"/>
      <c r="P49" s="42"/>
      <c r="Q49" s="41"/>
      <c r="R49" s="30"/>
      <c r="S49" s="47"/>
      <c r="T49" s="51"/>
      <c r="U49" s="47"/>
      <c r="V49" s="47"/>
      <c r="W49" s="47"/>
      <c r="X49" s="47"/>
      <c r="Y49" s="47"/>
      <c r="Z49" s="47"/>
      <c r="AA49" s="47"/>
      <c r="AB49" s="47"/>
      <c r="AC49" s="47"/>
    </row>
    <row r="50" ht="13.8" spans="1:29">
      <c r="A50" s="30"/>
      <c r="B50" s="30"/>
      <c r="C50" s="30"/>
      <c r="D50" s="31"/>
      <c r="E50" s="31"/>
      <c r="F50" s="30"/>
      <c r="G50" s="32"/>
      <c r="H50" s="33"/>
      <c r="I50" s="33"/>
      <c r="J50" s="42"/>
      <c r="K50" s="41"/>
      <c r="L50" s="42"/>
      <c r="M50" s="42"/>
      <c r="N50" s="41"/>
      <c r="O50" s="42"/>
      <c r="P50" s="42"/>
      <c r="Q50" s="41"/>
      <c r="R50" s="30"/>
      <c r="S50" s="54"/>
      <c r="T50" s="55"/>
      <c r="U50" s="54"/>
      <c r="V50" s="54"/>
      <c r="W50" s="54"/>
      <c r="X50" s="54"/>
      <c r="Y50" s="54"/>
      <c r="Z50" s="54"/>
      <c r="AA50" s="54"/>
      <c r="AB50" s="54"/>
      <c r="AC50" s="54"/>
    </row>
    <row r="51" ht="13.8" spans="1:29">
      <c r="A51" s="30"/>
      <c r="B51" s="30"/>
      <c r="C51" s="30"/>
      <c r="D51" s="31"/>
      <c r="E51" s="31"/>
      <c r="F51" s="30"/>
      <c r="G51" s="32"/>
      <c r="H51" s="33"/>
      <c r="I51" s="33"/>
      <c r="J51" s="42"/>
      <c r="K51" s="41"/>
      <c r="L51" s="42"/>
      <c r="M51" s="42"/>
      <c r="N51" s="41"/>
      <c r="O51" s="42"/>
      <c r="P51" s="42"/>
      <c r="Q51" s="41"/>
      <c r="R51" s="30"/>
      <c r="S51" s="54"/>
      <c r="T51" s="55"/>
      <c r="U51" s="54"/>
      <c r="V51" s="54"/>
      <c r="W51" s="54"/>
      <c r="X51" s="54"/>
      <c r="Y51" s="54"/>
      <c r="Z51" s="54"/>
      <c r="AA51" s="54"/>
      <c r="AB51" s="54"/>
      <c r="AC51" s="54"/>
    </row>
    <row r="52" ht="13.8" outlineLevel="1" spans="1:29">
      <c r="A52" s="30"/>
      <c r="B52" s="30"/>
      <c r="C52" s="30"/>
      <c r="D52" s="31"/>
      <c r="E52" s="31"/>
      <c r="F52" s="30"/>
      <c r="G52" s="32"/>
      <c r="H52" s="33"/>
      <c r="I52" s="33"/>
      <c r="J52" s="42"/>
      <c r="K52" s="41"/>
      <c r="L52" s="42"/>
      <c r="M52" s="42"/>
      <c r="N52" s="41"/>
      <c r="O52" s="42"/>
      <c r="P52" s="42"/>
      <c r="Q52" s="41"/>
      <c r="R52" s="30"/>
      <c r="S52" s="37"/>
      <c r="T52" s="56"/>
      <c r="U52" s="37"/>
      <c r="V52" s="37"/>
      <c r="W52" s="37"/>
      <c r="X52" s="37"/>
      <c r="Y52" s="37"/>
      <c r="Z52" s="37"/>
      <c r="AA52" s="37"/>
      <c r="AB52" s="37"/>
      <c r="AC52" s="37"/>
    </row>
    <row r="53" ht="13.8" outlineLevel="1" spans="1:29">
      <c r="A53" s="30"/>
      <c r="B53" s="30"/>
      <c r="C53" s="30"/>
      <c r="D53" s="31"/>
      <c r="E53" s="31"/>
      <c r="F53" s="30"/>
      <c r="G53" s="32"/>
      <c r="H53" s="33"/>
      <c r="I53" s="33"/>
      <c r="J53" s="42"/>
      <c r="K53" s="41"/>
      <c r="L53" s="42"/>
      <c r="M53" s="42"/>
      <c r="N53" s="41"/>
      <c r="O53" s="42"/>
      <c r="P53" s="42"/>
      <c r="Q53" s="41"/>
      <c r="R53" s="30"/>
      <c r="S53" s="37"/>
      <c r="T53" s="56"/>
      <c r="U53" s="37"/>
      <c r="V53" s="37"/>
      <c r="W53" s="37"/>
      <c r="X53" s="37"/>
      <c r="Y53" s="37"/>
      <c r="Z53" s="37"/>
      <c r="AA53" s="37"/>
      <c r="AB53" s="37"/>
      <c r="AC53" s="37"/>
    </row>
    <row r="54" ht="64.5" customHeight="1" outlineLevel="1" spans="1:29">
      <c r="A54" s="62"/>
      <c r="B54" s="62"/>
      <c r="C54" s="62"/>
      <c r="D54" s="63"/>
      <c r="E54" s="63"/>
      <c r="F54" s="62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62"/>
      <c r="S54" s="37"/>
      <c r="T54" s="57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62"/>
      <c r="B55" s="62"/>
      <c r="C55" s="62"/>
      <c r="D55" s="63"/>
      <c r="E55" s="63"/>
      <c r="F55" s="62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67"/>
      <c r="S55" s="54"/>
      <c r="T55" s="55"/>
      <c r="U55" s="54"/>
      <c r="V55" s="54"/>
      <c r="W55" s="54"/>
      <c r="X55" s="54"/>
      <c r="Y55" s="54"/>
      <c r="Z55" s="54"/>
      <c r="AA55" s="54"/>
      <c r="AB55" s="54"/>
      <c r="AC55" s="54"/>
    </row>
    <row r="56" ht="64.5" customHeight="1" outlineLevel="1" spans="1:29">
      <c r="A56" s="62"/>
      <c r="B56" s="62"/>
      <c r="C56" s="62"/>
      <c r="D56" s="63"/>
      <c r="E56" s="63"/>
      <c r="F56" s="62"/>
      <c r="G56" s="1"/>
      <c r="H56" s="64"/>
      <c r="I56" s="64"/>
      <c r="J56" s="1"/>
      <c r="K56" s="1"/>
      <c r="L56" s="1"/>
      <c r="M56" s="1"/>
      <c r="N56" s="1"/>
      <c r="O56" s="1"/>
      <c r="P56" s="1"/>
      <c r="Q56" s="1"/>
      <c r="R56" s="67"/>
      <c r="S56" s="37"/>
      <c r="T56" s="56"/>
      <c r="U56" s="37"/>
      <c r="V56" s="37"/>
      <c r="W56" s="37"/>
      <c r="X56" s="37"/>
      <c r="Y56" s="37"/>
      <c r="Z56" s="37"/>
      <c r="AA56" s="37"/>
      <c r="AB56" s="37"/>
      <c r="AC56" s="37"/>
    </row>
    <row r="57" ht="64.5" customHeight="1" spans="1:29">
      <c r="A57" s="62"/>
      <c r="B57" s="62"/>
      <c r="C57" s="62"/>
      <c r="D57" s="65"/>
      <c r="E57" s="65"/>
      <c r="F57" s="66"/>
      <c r="G57" s="1"/>
      <c r="H57" s="64"/>
      <c r="I57" s="64"/>
      <c r="J57" s="1"/>
      <c r="K57" s="1"/>
      <c r="L57" s="1"/>
      <c r="M57" s="1"/>
      <c r="N57" s="1"/>
      <c r="O57" s="1"/>
      <c r="P57" s="1"/>
      <c r="Q57" s="1"/>
      <c r="R57" s="66"/>
      <c r="S57" s="37"/>
      <c r="T57" s="57"/>
      <c r="U57" s="37"/>
      <c r="V57" s="37"/>
      <c r="W57" s="37"/>
      <c r="X57" s="37"/>
      <c r="Y57" s="37"/>
      <c r="Z57" s="37"/>
      <c r="AA57" s="37"/>
      <c r="AB57" s="37"/>
      <c r="AC57" s="37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37"/>
      <c r="C228" s="38"/>
      <c r="D228" s="39"/>
      <c r="E228" s="39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37"/>
      <c r="C229" s="38"/>
      <c r="D229" s="39"/>
      <c r="E229" s="39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2.75" customHeight="1" spans="1:29">
      <c r="A252" s="37"/>
      <c r="B252" s="43"/>
      <c r="C252" s="58"/>
      <c r="D252" s="59"/>
      <c r="E252" s="59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2.75" customHeight="1" spans="1:29">
      <c r="A253" s="37"/>
      <c r="B253" s="43"/>
      <c r="C253" s="58"/>
      <c r="D253" s="59"/>
      <c r="E253" s="59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7:H57 G11:G56 H2:H3 L11:L57 M2:M3 O11:O5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26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38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COUNTA(B11:B960)-COUNTIF($N11:$N960,"Skip")</f>
        <v>27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COUNTIF($G11:$G960,C5)</f>
        <v>27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COUNTIF($L11:$L960,C5)</f>
        <v>27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COUNTIF($O11:$O960,C5)</f>
        <v>27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237.6" spans="1:29">
      <c r="A11" s="30" t="s">
        <v>37</v>
      </c>
      <c r="B11" s="30" t="s">
        <v>1485</v>
      </c>
      <c r="C11" s="30" t="s">
        <v>1486</v>
      </c>
      <c r="D11" s="31" t="s">
        <v>1487</v>
      </c>
      <c r="E11" s="31" t="s">
        <v>1488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4</v>
      </c>
      <c r="L11" s="42" t="s">
        <v>209</v>
      </c>
      <c r="M11" s="40">
        <v>45993</v>
      </c>
      <c r="N11" s="41" t="s">
        <v>4</v>
      </c>
      <c r="O11" s="42" t="s">
        <v>209</v>
      </c>
      <c r="P11" s="40">
        <v>45995</v>
      </c>
      <c r="Q11" s="41" t="s">
        <v>4</v>
      </c>
      <c r="R11" s="3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66" spans="1:29">
      <c r="A12" s="30" t="s">
        <v>37</v>
      </c>
      <c r="B12" s="30" t="s">
        <v>1489</v>
      </c>
      <c r="C12" s="30" t="s">
        <v>1490</v>
      </c>
      <c r="D12" s="31" t="s">
        <v>1491</v>
      </c>
      <c r="E12" s="31" t="s">
        <v>1492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4</v>
      </c>
      <c r="L12" s="42" t="s">
        <v>209</v>
      </c>
      <c r="M12" s="40">
        <v>45993</v>
      </c>
      <c r="N12" s="41" t="s">
        <v>4</v>
      </c>
      <c r="O12" s="42" t="s">
        <v>209</v>
      </c>
      <c r="P12" s="40">
        <v>45991</v>
      </c>
      <c r="Q12" s="41" t="s">
        <v>4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66" spans="1:29">
      <c r="A13" s="30" t="s">
        <v>37</v>
      </c>
      <c r="B13" s="30" t="s">
        <v>1493</v>
      </c>
      <c r="C13" s="30" t="s">
        <v>1494</v>
      </c>
      <c r="D13" s="31" t="s">
        <v>1495</v>
      </c>
      <c r="E13" s="31" t="s">
        <v>1496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4</v>
      </c>
      <c r="L13" s="42" t="s">
        <v>209</v>
      </c>
      <c r="M13" s="40">
        <v>45993</v>
      </c>
      <c r="N13" s="41" t="s">
        <v>4</v>
      </c>
      <c r="O13" s="42" t="s">
        <v>209</v>
      </c>
      <c r="P13" s="40">
        <v>45991</v>
      </c>
      <c r="Q13" s="41" t="s">
        <v>4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66" spans="1:29">
      <c r="A14" s="30" t="s">
        <v>37</v>
      </c>
      <c r="B14" s="30" t="s">
        <v>1497</v>
      </c>
      <c r="C14" s="30" t="s">
        <v>1498</v>
      </c>
      <c r="D14" s="31" t="s">
        <v>1499</v>
      </c>
      <c r="E14" s="31" t="s">
        <v>1500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4</v>
      </c>
      <c r="L14" s="42" t="s">
        <v>209</v>
      </c>
      <c r="M14" s="40">
        <v>45993</v>
      </c>
      <c r="N14" s="41" t="s">
        <v>4</v>
      </c>
      <c r="O14" s="42" t="s">
        <v>209</v>
      </c>
      <c r="P14" s="40">
        <v>45991</v>
      </c>
      <c r="Q14" s="41" t="s">
        <v>4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66" spans="1:29">
      <c r="A15" s="30" t="s">
        <v>37</v>
      </c>
      <c r="B15" s="30" t="s">
        <v>1501</v>
      </c>
      <c r="C15" s="30" t="s">
        <v>1502</v>
      </c>
      <c r="D15" s="31" t="s">
        <v>1503</v>
      </c>
      <c r="E15" s="31" t="s">
        <v>1504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4</v>
      </c>
      <c r="L15" s="42" t="s">
        <v>209</v>
      </c>
      <c r="M15" s="40">
        <v>45993</v>
      </c>
      <c r="N15" s="41" t="s">
        <v>4</v>
      </c>
      <c r="O15" s="42" t="s">
        <v>209</v>
      </c>
      <c r="P15" s="40">
        <v>45995</v>
      </c>
      <c r="Q15" s="41" t="s">
        <v>4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66" spans="1:29">
      <c r="A16" s="30" t="s">
        <v>37</v>
      </c>
      <c r="B16" s="30" t="s">
        <v>1505</v>
      </c>
      <c r="C16" s="30" t="s">
        <v>1506</v>
      </c>
      <c r="D16" s="31" t="s">
        <v>1507</v>
      </c>
      <c r="E16" s="31" t="s">
        <v>1508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4</v>
      </c>
      <c r="L16" s="42" t="s">
        <v>209</v>
      </c>
      <c r="M16" s="40">
        <v>45993</v>
      </c>
      <c r="N16" s="41" t="s">
        <v>4</v>
      </c>
      <c r="O16" s="42" t="s">
        <v>209</v>
      </c>
      <c r="P16" s="40">
        <v>45995</v>
      </c>
      <c r="Q16" s="41" t="s">
        <v>4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66" spans="1:29">
      <c r="A17" s="30" t="s">
        <v>37</v>
      </c>
      <c r="B17" s="30" t="s">
        <v>1509</v>
      </c>
      <c r="C17" s="30" t="s">
        <v>1510</v>
      </c>
      <c r="D17" s="31" t="s">
        <v>1511</v>
      </c>
      <c r="E17" s="31" t="s">
        <v>1512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4</v>
      </c>
      <c r="L17" s="42" t="s">
        <v>209</v>
      </c>
      <c r="M17" s="40">
        <v>45993</v>
      </c>
      <c r="N17" s="41" t="s">
        <v>4</v>
      </c>
      <c r="O17" s="42" t="s">
        <v>209</v>
      </c>
      <c r="P17" s="40">
        <v>45995</v>
      </c>
      <c r="Q17" s="41" t="s">
        <v>4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66" spans="1:29">
      <c r="A18" s="30" t="s">
        <v>37</v>
      </c>
      <c r="B18" s="30" t="s">
        <v>1513</v>
      </c>
      <c r="C18" s="30" t="s">
        <v>1514</v>
      </c>
      <c r="D18" s="31" t="s">
        <v>1515</v>
      </c>
      <c r="E18" s="31" t="s">
        <v>1516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4</v>
      </c>
      <c r="L18" s="42" t="s">
        <v>209</v>
      </c>
      <c r="M18" s="40">
        <v>45993</v>
      </c>
      <c r="N18" s="41" t="s">
        <v>4</v>
      </c>
      <c r="O18" s="42" t="s">
        <v>209</v>
      </c>
      <c r="P18" s="40">
        <v>45995</v>
      </c>
      <c r="Q18" s="41" t="s">
        <v>4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52.8" spans="1:29">
      <c r="A19" s="30" t="s">
        <v>37</v>
      </c>
      <c r="B19" s="30" t="s">
        <v>1517</v>
      </c>
      <c r="C19" s="30" t="s">
        <v>1518</v>
      </c>
      <c r="D19" s="31" t="s">
        <v>1519</v>
      </c>
      <c r="E19" s="31" t="s">
        <v>1520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4</v>
      </c>
      <c r="L19" s="42" t="s">
        <v>209</v>
      </c>
      <c r="M19" s="40">
        <v>45993</v>
      </c>
      <c r="N19" s="41" t="s">
        <v>4</v>
      </c>
      <c r="O19" s="42" t="s">
        <v>209</v>
      </c>
      <c r="P19" s="40">
        <v>45995</v>
      </c>
      <c r="Q19" s="41" t="s">
        <v>4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52.8" spans="1:29">
      <c r="A20" s="30" t="s">
        <v>37</v>
      </c>
      <c r="B20" s="30" t="s">
        <v>1521</v>
      </c>
      <c r="C20" s="30" t="s">
        <v>1522</v>
      </c>
      <c r="D20" s="31" t="s">
        <v>1523</v>
      </c>
      <c r="E20" s="31" t="s">
        <v>1524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4</v>
      </c>
      <c r="L20" s="42" t="s">
        <v>209</v>
      </c>
      <c r="M20" s="40">
        <v>45993</v>
      </c>
      <c r="N20" s="41" t="s">
        <v>4</v>
      </c>
      <c r="O20" s="42" t="s">
        <v>209</v>
      </c>
      <c r="P20" s="40">
        <v>45995</v>
      </c>
      <c r="Q20" s="41" t="s">
        <v>4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132" spans="1:29">
      <c r="A21" s="30" t="s">
        <v>39</v>
      </c>
      <c r="B21" s="30" t="s">
        <v>1525</v>
      </c>
      <c r="C21" s="30" t="s">
        <v>1526</v>
      </c>
      <c r="D21" s="31" t="s">
        <v>1527</v>
      </c>
      <c r="E21" s="31" t="s">
        <v>1528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4</v>
      </c>
      <c r="L21" s="42" t="s">
        <v>209</v>
      </c>
      <c r="M21" s="40">
        <v>45993</v>
      </c>
      <c r="N21" s="41" t="s">
        <v>4</v>
      </c>
      <c r="O21" s="42" t="s">
        <v>209</v>
      </c>
      <c r="P21" s="40">
        <v>45995</v>
      </c>
      <c r="Q21" s="41" t="s">
        <v>4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66" spans="1:29">
      <c r="A22" s="30" t="s">
        <v>39</v>
      </c>
      <c r="B22" s="30" t="s">
        <v>1529</v>
      </c>
      <c r="C22" s="30" t="s">
        <v>1530</v>
      </c>
      <c r="D22" s="31" t="s">
        <v>1531</v>
      </c>
      <c r="E22" s="31" t="s">
        <v>1532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4</v>
      </c>
      <c r="L22" s="42" t="s">
        <v>209</v>
      </c>
      <c r="M22" s="40">
        <v>45993</v>
      </c>
      <c r="N22" s="41" t="s">
        <v>4</v>
      </c>
      <c r="O22" s="42" t="s">
        <v>209</v>
      </c>
      <c r="P22" s="40">
        <v>45995</v>
      </c>
      <c r="Q22" s="41" t="s">
        <v>4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66" spans="1:29">
      <c r="A23" s="30" t="s">
        <v>39</v>
      </c>
      <c r="B23" s="30" t="s">
        <v>1533</v>
      </c>
      <c r="C23" s="30" t="s">
        <v>1534</v>
      </c>
      <c r="D23" s="31" t="s">
        <v>1535</v>
      </c>
      <c r="E23" s="31" t="s">
        <v>1500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4</v>
      </c>
      <c r="L23" s="42" t="s">
        <v>209</v>
      </c>
      <c r="M23" s="40">
        <v>45993</v>
      </c>
      <c r="N23" s="41" t="s">
        <v>4</v>
      </c>
      <c r="O23" s="42" t="s">
        <v>209</v>
      </c>
      <c r="P23" s="40">
        <v>45995</v>
      </c>
      <c r="Q23" s="41" t="s">
        <v>4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66" spans="1:29">
      <c r="A24" s="30" t="s">
        <v>39</v>
      </c>
      <c r="B24" s="30" t="s">
        <v>1536</v>
      </c>
      <c r="C24" s="30" t="s">
        <v>1537</v>
      </c>
      <c r="D24" s="31" t="s">
        <v>1538</v>
      </c>
      <c r="E24" s="31" t="s">
        <v>1508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4</v>
      </c>
      <c r="L24" s="42" t="s">
        <v>209</v>
      </c>
      <c r="M24" s="40">
        <v>45993</v>
      </c>
      <c r="N24" s="41" t="s">
        <v>4</v>
      </c>
      <c r="O24" s="42" t="s">
        <v>209</v>
      </c>
      <c r="P24" s="40">
        <v>45995</v>
      </c>
      <c r="Q24" s="41" t="s">
        <v>4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52.8" spans="1:29">
      <c r="A25" s="30" t="s">
        <v>39</v>
      </c>
      <c r="B25" s="30" t="s">
        <v>1539</v>
      </c>
      <c r="C25" s="30" t="s">
        <v>1540</v>
      </c>
      <c r="D25" s="31" t="s">
        <v>1541</v>
      </c>
      <c r="E25" s="31" t="s">
        <v>1520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4</v>
      </c>
      <c r="L25" s="42" t="s">
        <v>209</v>
      </c>
      <c r="M25" s="40">
        <v>45993</v>
      </c>
      <c r="N25" s="41" t="s">
        <v>4</v>
      </c>
      <c r="O25" s="42" t="s">
        <v>209</v>
      </c>
      <c r="P25" s="40">
        <v>45995</v>
      </c>
      <c r="Q25" s="41" t="s">
        <v>4</v>
      </c>
      <c r="R25" s="30"/>
      <c r="S25" s="47"/>
      <c r="T25" s="51"/>
      <c r="U25" s="47"/>
      <c r="V25" s="47"/>
      <c r="W25" s="47"/>
      <c r="X25" s="47"/>
      <c r="Y25" s="47"/>
      <c r="Z25" s="47"/>
      <c r="AA25" s="47"/>
      <c r="AB25" s="47"/>
      <c r="AC25" s="47"/>
    </row>
    <row r="26" ht="52.8" outlineLevel="1" spans="1:29">
      <c r="A26" s="30" t="s">
        <v>39</v>
      </c>
      <c r="B26" s="30" t="s">
        <v>1542</v>
      </c>
      <c r="C26" s="30" t="s">
        <v>1543</v>
      </c>
      <c r="D26" s="31" t="s">
        <v>1544</v>
      </c>
      <c r="E26" s="31" t="s">
        <v>1524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4</v>
      </c>
      <c r="L26" s="42" t="s">
        <v>209</v>
      </c>
      <c r="M26" s="40">
        <v>45993</v>
      </c>
      <c r="N26" s="41" t="s">
        <v>4</v>
      </c>
      <c r="O26" s="42" t="s">
        <v>209</v>
      </c>
      <c r="P26" s="40">
        <v>45995</v>
      </c>
      <c r="Q26" s="41" t="s">
        <v>4</v>
      </c>
      <c r="R26" s="30"/>
      <c r="S26" s="52"/>
      <c r="T26" s="53"/>
      <c r="U26" s="52"/>
      <c r="V26" s="52"/>
      <c r="W26" s="52"/>
      <c r="X26" s="52"/>
      <c r="Y26" s="52"/>
      <c r="Z26" s="52"/>
      <c r="AA26" s="52"/>
      <c r="AB26" s="52"/>
      <c r="AC26" s="52"/>
    </row>
    <row r="27" ht="184.8" outlineLevel="1" spans="1:29">
      <c r="A27" s="30" t="s">
        <v>40</v>
      </c>
      <c r="B27" s="30" t="s">
        <v>1545</v>
      </c>
      <c r="C27" s="30" t="s">
        <v>1546</v>
      </c>
      <c r="D27" s="31" t="s">
        <v>1547</v>
      </c>
      <c r="E27" s="31" t="s">
        <v>1548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4</v>
      </c>
      <c r="L27" s="42" t="s">
        <v>209</v>
      </c>
      <c r="M27" s="40">
        <v>45993</v>
      </c>
      <c r="N27" s="41" t="s">
        <v>4</v>
      </c>
      <c r="O27" s="42" t="s">
        <v>209</v>
      </c>
      <c r="P27" s="40">
        <v>45995</v>
      </c>
      <c r="Q27" s="41" t="s">
        <v>4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52.8" outlineLevel="1" spans="1:29">
      <c r="A28" s="30" t="s">
        <v>40</v>
      </c>
      <c r="B28" s="30" t="s">
        <v>1549</v>
      </c>
      <c r="C28" s="30" t="s">
        <v>1550</v>
      </c>
      <c r="D28" s="31" t="s">
        <v>1551</v>
      </c>
      <c r="E28" s="31" t="s">
        <v>1532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4</v>
      </c>
      <c r="L28" s="42" t="s">
        <v>209</v>
      </c>
      <c r="M28" s="40">
        <v>45993</v>
      </c>
      <c r="N28" s="41" t="s">
        <v>4</v>
      </c>
      <c r="O28" s="42" t="s">
        <v>209</v>
      </c>
      <c r="P28" s="40">
        <v>45995</v>
      </c>
      <c r="Q28" s="41" t="s">
        <v>4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52.8" outlineLevel="1" spans="1:29">
      <c r="A29" s="30" t="s">
        <v>40</v>
      </c>
      <c r="B29" s="30" t="s">
        <v>1552</v>
      </c>
      <c r="C29" s="30" t="s">
        <v>1553</v>
      </c>
      <c r="D29" s="31" t="s">
        <v>1554</v>
      </c>
      <c r="E29" s="31" t="s">
        <v>1532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4</v>
      </c>
      <c r="L29" s="42" t="s">
        <v>209</v>
      </c>
      <c r="M29" s="40">
        <v>45993</v>
      </c>
      <c r="N29" s="41" t="s">
        <v>4</v>
      </c>
      <c r="O29" s="42" t="s">
        <v>209</v>
      </c>
      <c r="P29" s="40">
        <v>45995</v>
      </c>
      <c r="Q29" s="41" t="s">
        <v>4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52.8" outlineLevel="1" spans="1:29">
      <c r="A30" s="30" t="s">
        <v>40</v>
      </c>
      <c r="B30" s="30" t="s">
        <v>1555</v>
      </c>
      <c r="C30" s="30" t="s">
        <v>1556</v>
      </c>
      <c r="D30" s="31" t="s">
        <v>1557</v>
      </c>
      <c r="E30" s="31" t="s">
        <v>1532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4</v>
      </c>
      <c r="L30" s="42" t="s">
        <v>209</v>
      </c>
      <c r="M30" s="40">
        <v>45993</v>
      </c>
      <c r="N30" s="41" t="s">
        <v>4</v>
      </c>
      <c r="O30" s="42" t="s">
        <v>209</v>
      </c>
      <c r="P30" s="40">
        <v>45995</v>
      </c>
      <c r="Q30" s="41" t="s">
        <v>4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158.4" outlineLevel="1" spans="1:29">
      <c r="A31" s="30" t="s">
        <v>41</v>
      </c>
      <c r="B31" s="30" t="s">
        <v>1558</v>
      </c>
      <c r="C31" s="30" t="s">
        <v>1559</v>
      </c>
      <c r="D31" s="31" t="s">
        <v>1560</v>
      </c>
      <c r="E31" s="31" t="s">
        <v>1561</v>
      </c>
      <c r="F31" s="30" t="s">
        <v>237</v>
      </c>
      <c r="G31" s="32" t="s">
        <v>209</v>
      </c>
      <c r="H31" s="33"/>
      <c r="I31" s="33"/>
      <c r="J31" s="40">
        <v>45991</v>
      </c>
      <c r="K31" s="41" t="s">
        <v>4</v>
      </c>
      <c r="L31" s="42" t="s">
        <v>209</v>
      </c>
      <c r="M31" s="40">
        <v>45993</v>
      </c>
      <c r="N31" s="41" t="s">
        <v>4</v>
      </c>
      <c r="O31" s="42" t="s">
        <v>209</v>
      </c>
      <c r="P31" s="40">
        <v>45995</v>
      </c>
      <c r="Q31" s="41" t="s">
        <v>4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145.2" outlineLevel="1" spans="1:29">
      <c r="A32" s="30" t="s">
        <v>41</v>
      </c>
      <c r="B32" s="30" t="s">
        <v>1562</v>
      </c>
      <c r="C32" s="30" t="s">
        <v>1563</v>
      </c>
      <c r="D32" s="31" t="s">
        <v>1564</v>
      </c>
      <c r="E32" s="31" t="s">
        <v>1565</v>
      </c>
      <c r="F32" s="30" t="s">
        <v>237</v>
      </c>
      <c r="G32" s="32" t="s">
        <v>209</v>
      </c>
      <c r="H32" s="33"/>
      <c r="I32" s="33"/>
      <c r="J32" s="40">
        <v>45991</v>
      </c>
      <c r="K32" s="41" t="s">
        <v>4</v>
      </c>
      <c r="L32" s="42" t="s">
        <v>209</v>
      </c>
      <c r="M32" s="40">
        <v>45993</v>
      </c>
      <c r="N32" s="41" t="s">
        <v>4</v>
      </c>
      <c r="O32" s="42" t="s">
        <v>209</v>
      </c>
      <c r="P32" s="40">
        <v>45995</v>
      </c>
      <c r="Q32" s="41" t="s">
        <v>4</v>
      </c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58.4" outlineLevel="1" spans="1:29">
      <c r="A33" s="30" t="s">
        <v>41</v>
      </c>
      <c r="B33" s="30" t="s">
        <v>1566</v>
      </c>
      <c r="C33" s="30" t="s">
        <v>1567</v>
      </c>
      <c r="D33" s="31" t="s">
        <v>1568</v>
      </c>
      <c r="E33" s="31" t="s">
        <v>1569</v>
      </c>
      <c r="F33" s="30" t="s">
        <v>237</v>
      </c>
      <c r="G33" s="32" t="s">
        <v>209</v>
      </c>
      <c r="H33" s="33"/>
      <c r="I33" s="33"/>
      <c r="J33" s="40">
        <v>45991</v>
      </c>
      <c r="K33" s="41" t="s">
        <v>4</v>
      </c>
      <c r="L33" s="42" t="s">
        <v>209</v>
      </c>
      <c r="M33" s="40">
        <v>45993</v>
      </c>
      <c r="N33" s="41" t="s">
        <v>4</v>
      </c>
      <c r="O33" s="42" t="s">
        <v>209</v>
      </c>
      <c r="P33" s="40">
        <v>45995</v>
      </c>
      <c r="Q33" s="41" t="s">
        <v>4</v>
      </c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58.4" outlineLevel="1" spans="1:29">
      <c r="A34" s="30" t="s">
        <v>41</v>
      </c>
      <c r="B34" s="30" t="s">
        <v>1570</v>
      </c>
      <c r="C34" s="30" t="s">
        <v>1571</v>
      </c>
      <c r="D34" s="31" t="s">
        <v>1572</v>
      </c>
      <c r="E34" s="31" t="s">
        <v>1573</v>
      </c>
      <c r="F34" s="30" t="s">
        <v>237</v>
      </c>
      <c r="G34" s="32" t="s">
        <v>209</v>
      </c>
      <c r="H34" s="33"/>
      <c r="I34" s="33"/>
      <c r="J34" s="40">
        <v>45991</v>
      </c>
      <c r="K34" s="41" t="s">
        <v>4</v>
      </c>
      <c r="L34" s="42" t="s">
        <v>209</v>
      </c>
      <c r="M34" s="40">
        <v>45993</v>
      </c>
      <c r="N34" s="41" t="s">
        <v>4</v>
      </c>
      <c r="O34" s="42" t="s">
        <v>209</v>
      </c>
      <c r="P34" s="40">
        <v>45995</v>
      </c>
      <c r="Q34" s="41" t="s">
        <v>4</v>
      </c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79.2" outlineLevel="1" spans="1:29">
      <c r="A35" s="30" t="s">
        <v>41</v>
      </c>
      <c r="B35" s="30" t="s">
        <v>1574</v>
      </c>
      <c r="C35" s="30" t="s">
        <v>1575</v>
      </c>
      <c r="D35" s="31" t="s">
        <v>1576</v>
      </c>
      <c r="E35" s="31" t="s">
        <v>1532</v>
      </c>
      <c r="F35" s="30" t="s">
        <v>237</v>
      </c>
      <c r="G35" s="32" t="s">
        <v>209</v>
      </c>
      <c r="H35" s="33"/>
      <c r="I35" s="33"/>
      <c r="J35" s="40">
        <v>45991</v>
      </c>
      <c r="K35" s="41" t="s">
        <v>4</v>
      </c>
      <c r="L35" s="42" t="s">
        <v>209</v>
      </c>
      <c r="M35" s="40">
        <v>45993</v>
      </c>
      <c r="N35" s="41" t="s">
        <v>4</v>
      </c>
      <c r="O35" s="42" t="s">
        <v>209</v>
      </c>
      <c r="P35" s="40">
        <v>45995</v>
      </c>
      <c r="Q35" s="41" t="s">
        <v>4</v>
      </c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45.2" outlineLevel="1" spans="1:29">
      <c r="A36" s="30" t="s">
        <v>41</v>
      </c>
      <c r="B36" s="30" t="s">
        <v>1577</v>
      </c>
      <c r="C36" s="30" t="s">
        <v>1578</v>
      </c>
      <c r="D36" s="31" t="s">
        <v>1579</v>
      </c>
      <c r="E36" s="31" t="s">
        <v>1580</v>
      </c>
      <c r="F36" s="30" t="s">
        <v>237</v>
      </c>
      <c r="G36" s="32" t="s">
        <v>209</v>
      </c>
      <c r="H36" s="33"/>
      <c r="I36" s="33"/>
      <c r="J36" s="40">
        <v>45991</v>
      </c>
      <c r="K36" s="41" t="s">
        <v>4</v>
      </c>
      <c r="L36" s="42" t="s">
        <v>209</v>
      </c>
      <c r="M36" s="40">
        <v>45993</v>
      </c>
      <c r="N36" s="41" t="s">
        <v>4</v>
      </c>
      <c r="O36" s="42" t="s">
        <v>209</v>
      </c>
      <c r="P36" s="40">
        <v>45995</v>
      </c>
      <c r="Q36" s="41" t="s">
        <v>4</v>
      </c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45.2" outlineLevel="1" spans="1:29">
      <c r="A37" s="30" t="s">
        <v>41</v>
      </c>
      <c r="B37" s="30" t="s">
        <v>1581</v>
      </c>
      <c r="C37" s="30" t="s">
        <v>1582</v>
      </c>
      <c r="D37" s="31" t="s">
        <v>1583</v>
      </c>
      <c r="E37" s="31" t="s">
        <v>1584</v>
      </c>
      <c r="F37" s="30" t="s">
        <v>237</v>
      </c>
      <c r="G37" s="32" t="s">
        <v>209</v>
      </c>
      <c r="H37" s="33"/>
      <c r="I37" s="33"/>
      <c r="J37" s="40">
        <v>45991</v>
      </c>
      <c r="K37" s="41" t="s">
        <v>4</v>
      </c>
      <c r="L37" s="42" t="s">
        <v>209</v>
      </c>
      <c r="M37" s="40">
        <v>45993</v>
      </c>
      <c r="N37" s="41" t="s">
        <v>4</v>
      </c>
      <c r="O37" s="42" t="s">
        <v>209</v>
      </c>
      <c r="P37" s="40">
        <v>45995</v>
      </c>
      <c r="Q37" s="41" t="s">
        <v>4</v>
      </c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8" outlineLevel="1" spans="1:29">
      <c r="A38" s="30"/>
      <c r="B38" s="30"/>
      <c r="C38" s="30"/>
      <c r="D38" s="31"/>
      <c r="E38" s="31"/>
      <c r="F38" s="30"/>
      <c r="G38" s="32"/>
      <c r="H38" s="33"/>
      <c r="I38" s="33"/>
      <c r="J38" s="42"/>
      <c r="K38" s="41"/>
      <c r="L38" s="42"/>
      <c r="M38" s="42"/>
      <c r="N38" s="41"/>
      <c r="O38" s="42"/>
      <c r="P38" s="42"/>
      <c r="Q38" s="41"/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8" outlineLevel="1" spans="1:29">
      <c r="A39" s="30"/>
      <c r="B39" s="30"/>
      <c r="C39" s="30"/>
      <c r="D39" s="31"/>
      <c r="E39" s="31"/>
      <c r="F39" s="30"/>
      <c r="G39" s="32"/>
      <c r="H39" s="33"/>
      <c r="I39" s="33"/>
      <c r="J39" s="42"/>
      <c r="K39" s="41"/>
      <c r="L39" s="42"/>
      <c r="M39" s="42"/>
      <c r="N39" s="41"/>
      <c r="O39" s="42"/>
      <c r="P39" s="42"/>
      <c r="Q39" s="41"/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8" outlineLevel="1" spans="1:29">
      <c r="A40" s="30"/>
      <c r="B40" s="30"/>
      <c r="C40" s="30"/>
      <c r="D40" s="31"/>
      <c r="E40" s="31"/>
      <c r="F40" s="30"/>
      <c r="G40" s="32"/>
      <c r="H40" s="33"/>
      <c r="I40" s="33"/>
      <c r="J40" s="42"/>
      <c r="K40" s="41"/>
      <c r="L40" s="42"/>
      <c r="M40" s="42"/>
      <c r="N40" s="41"/>
      <c r="O40" s="42"/>
      <c r="P40" s="42"/>
      <c r="Q40" s="41"/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8" outlineLevel="1" spans="1:29">
      <c r="A41" s="30"/>
      <c r="B41" s="30"/>
      <c r="C41" s="30"/>
      <c r="D41" s="31"/>
      <c r="E41" s="31"/>
      <c r="F41" s="30"/>
      <c r="G41" s="32"/>
      <c r="H41" s="33"/>
      <c r="I41" s="33"/>
      <c r="J41" s="42"/>
      <c r="K41" s="41"/>
      <c r="L41" s="42"/>
      <c r="M41" s="42"/>
      <c r="N41" s="41"/>
      <c r="O41" s="42"/>
      <c r="P41" s="42"/>
      <c r="Q41" s="41"/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8" outlineLevel="1" spans="1:29">
      <c r="A42" s="30"/>
      <c r="B42" s="30"/>
      <c r="C42" s="30"/>
      <c r="D42" s="31"/>
      <c r="E42" s="31"/>
      <c r="F42" s="30"/>
      <c r="G42" s="32"/>
      <c r="H42" s="33"/>
      <c r="I42" s="33"/>
      <c r="J42" s="42"/>
      <c r="K42" s="41"/>
      <c r="L42" s="42"/>
      <c r="M42" s="42"/>
      <c r="N42" s="41"/>
      <c r="O42" s="42"/>
      <c r="P42" s="42"/>
      <c r="Q42" s="41"/>
      <c r="R42" s="30"/>
      <c r="S42" s="43"/>
      <c r="T42" s="53"/>
      <c r="U42" s="43"/>
      <c r="V42" s="43"/>
      <c r="W42" s="43"/>
      <c r="X42" s="43"/>
      <c r="Y42" s="43"/>
      <c r="Z42" s="43"/>
      <c r="AA42" s="43"/>
      <c r="AB42" s="43"/>
      <c r="AC42" s="43"/>
    </row>
    <row r="43" ht="13.8" outlineLevel="1" spans="1:29">
      <c r="A43" s="30"/>
      <c r="B43" s="30"/>
      <c r="C43" s="30"/>
      <c r="D43" s="31"/>
      <c r="E43" s="31"/>
      <c r="F43" s="30"/>
      <c r="G43" s="32"/>
      <c r="H43" s="33"/>
      <c r="I43" s="33"/>
      <c r="J43" s="42"/>
      <c r="K43" s="41"/>
      <c r="L43" s="42"/>
      <c r="M43" s="42"/>
      <c r="N43" s="41"/>
      <c r="O43" s="42"/>
      <c r="P43" s="42"/>
      <c r="Q43" s="41"/>
      <c r="R43" s="30"/>
      <c r="S43" s="43"/>
      <c r="T43" s="53"/>
      <c r="U43" s="43"/>
      <c r="V43" s="43"/>
      <c r="W43" s="43"/>
      <c r="X43" s="43"/>
      <c r="Y43" s="43"/>
      <c r="Z43" s="43"/>
      <c r="AA43" s="43"/>
      <c r="AB43" s="43"/>
      <c r="AC43" s="43"/>
    </row>
    <row r="44" ht="13.8" outlineLevel="1" spans="1:29">
      <c r="A44" s="30"/>
      <c r="B44" s="30"/>
      <c r="C44" s="30"/>
      <c r="D44" s="31"/>
      <c r="E44" s="31"/>
      <c r="F44" s="30"/>
      <c r="G44" s="32"/>
      <c r="H44" s="33"/>
      <c r="I44" s="33"/>
      <c r="J44" s="42"/>
      <c r="K44" s="41"/>
      <c r="L44" s="42"/>
      <c r="M44" s="42"/>
      <c r="N44" s="41"/>
      <c r="O44" s="42"/>
      <c r="P44" s="42"/>
      <c r="Q44" s="41"/>
      <c r="R44" s="30"/>
      <c r="S44" s="43"/>
      <c r="T44" s="53"/>
      <c r="U44" s="43"/>
      <c r="V44" s="43"/>
      <c r="W44" s="43"/>
      <c r="X44" s="43"/>
      <c r="Y44" s="43"/>
      <c r="Z44" s="43"/>
      <c r="AA44" s="43"/>
      <c r="AB44" s="43"/>
      <c r="AC44" s="43"/>
    </row>
    <row r="45" ht="13.8" outlineLevel="1" spans="1:29">
      <c r="A45" s="30"/>
      <c r="B45" s="30"/>
      <c r="C45" s="30"/>
      <c r="D45" s="31"/>
      <c r="E45" s="31"/>
      <c r="F45" s="30"/>
      <c r="G45" s="32"/>
      <c r="H45" s="33"/>
      <c r="I45" s="33"/>
      <c r="J45" s="42"/>
      <c r="K45" s="41"/>
      <c r="L45" s="42"/>
      <c r="M45" s="42"/>
      <c r="N45" s="41"/>
      <c r="O45" s="42"/>
      <c r="P45" s="42"/>
      <c r="Q45" s="41"/>
      <c r="R45" s="30"/>
      <c r="S45" s="43"/>
      <c r="T45" s="53"/>
      <c r="U45" s="43"/>
      <c r="V45" s="43"/>
      <c r="W45" s="43"/>
      <c r="X45" s="43"/>
      <c r="Y45" s="43"/>
      <c r="Z45" s="43"/>
      <c r="AA45" s="43"/>
      <c r="AB45" s="43"/>
      <c r="AC45" s="43"/>
    </row>
    <row r="46" ht="13.8" outlineLevel="1" spans="1:29">
      <c r="A46" s="30"/>
      <c r="B46" s="30"/>
      <c r="C46" s="30"/>
      <c r="D46" s="31"/>
      <c r="E46" s="31"/>
      <c r="F46" s="30"/>
      <c r="G46" s="32"/>
      <c r="H46" s="33"/>
      <c r="I46" s="33"/>
      <c r="J46" s="42"/>
      <c r="K46" s="41"/>
      <c r="L46" s="42"/>
      <c r="M46" s="42"/>
      <c r="N46" s="41"/>
      <c r="O46" s="42"/>
      <c r="P46" s="42"/>
      <c r="Q46" s="41"/>
      <c r="R46" s="30"/>
      <c r="S46" s="43"/>
      <c r="T46" s="53"/>
      <c r="U46" s="43"/>
      <c r="V46" s="43"/>
      <c r="W46" s="43"/>
      <c r="X46" s="43"/>
      <c r="Y46" s="43"/>
      <c r="Z46" s="43"/>
      <c r="AA46" s="43"/>
      <c r="AB46" s="43"/>
      <c r="AC46" s="43"/>
    </row>
    <row r="47" ht="13.8" outlineLevel="1" spans="1:29">
      <c r="A47" s="30"/>
      <c r="B47" s="30"/>
      <c r="C47" s="30"/>
      <c r="D47" s="31"/>
      <c r="E47" s="31"/>
      <c r="F47" s="30"/>
      <c r="G47" s="32"/>
      <c r="H47" s="33"/>
      <c r="I47" s="33"/>
      <c r="J47" s="42"/>
      <c r="K47" s="41"/>
      <c r="L47" s="42"/>
      <c r="M47" s="42"/>
      <c r="N47" s="41"/>
      <c r="O47" s="42"/>
      <c r="P47" s="42"/>
      <c r="Q47" s="41"/>
      <c r="R47" s="30"/>
      <c r="S47" s="43"/>
      <c r="T47" s="53"/>
      <c r="U47" s="43"/>
      <c r="V47" s="43"/>
      <c r="W47" s="43"/>
      <c r="X47" s="43"/>
      <c r="Y47" s="43"/>
      <c r="Z47" s="43"/>
      <c r="AA47" s="43"/>
      <c r="AB47" s="43"/>
      <c r="AC47" s="43"/>
    </row>
    <row r="48" ht="13.8" outlineLevel="1" spans="1:29">
      <c r="A48" s="30"/>
      <c r="B48" s="30"/>
      <c r="C48" s="30"/>
      <c r="D48" s="31"/>
      <c r="E48" s="31"/>
      <c r="F48" s="30"/>
      <c r="G48" s="32"/>
      <c r="H48" s="33"/>
      <c r="I48" s="33"/>
      <c r="J48" s="42"/>
      <c r="K48" s="41"/>
      <c r="L48" s="42"/>
      <c r="M48" s="42"/>
      <c r="N48" s="41"/>
      <c r="O48" s="42"/>
      <c r="P48" s="42"/>
      <c r="Q48" s="41"/>
      <c r="R48" s="30"/>
      <c r="S48" s="43"/>
      <c r="T48" s="53"/>
      <c r="U48" s="43"/>
      <c r="V48" s="43"/>
      <c r="W48" s="43"/>
      <c r="X48" s="43"/>
      <c r="Y48" s="43"/>
      <c r="Z48" s="43"/>
      <c r="AA48" s="43"/>
      <c r="AB48" s="43"/>
      <c r="AC48" s="43"/>
    </row>
    <row r="49" ht="13.8" spans="1:29">
      <c r="A49" s="30"/>
      <c r="B49" s="30"/>
      <c r="C49" s="30"/>
      <c r="D49" s="31"/>
      <c r="E49" s="31"/>
      <c r="F49" s="30"/>
      <c r="G49" s="32"/>
      <c r="H49" s="33"/>
      <c r="I49" s="33"/>
      <c r="J49" s="42"/>
      <c r="K49" s="41"/>
      <c r="L49" s="42"/>
      <c r="M49" s="42"/>
      <c r="N49" s="41"/>
      <c r="O49" s="42"/>
      <c r="P49" s="42"/>
      <c r="Q49" s="41"/>
      <c r="R49" s="30"/>
      <c r="S49" s="47"/>
      <c r="T49" s="51"/>
      <c r="U49" s="47"/>
      <c r="V49" s="47"/>
      <c r="W49" s="47"/>
      <c r="X49" s="47"/>
      <c r="Y49" s="47"/>
      <c r="Z49" s="47"/>
      <c r="AA49" s="47"/>
      <c r="AB49" s="47"/>
      <c r="AC49" s="47"/>
    </row>
    <row r="50" ht="13.8" spans="1:29">
      <c r="A50" s="30"/>
      <c r="B50" s="30"/>
      <c r="C50" s="30"/>
      <c r="D50" s="31"/>
      <c r="E50" s="31"/>
      <c r="F50" s="30"/>
      <c r="G50" s="32"/>
      <c r="H50" s="33"/>
      <c r="I50" s="33"/>
      <c r="J50" s="42"/>
      <c r="K50" s="41"/>
      <c r="L50" s="42"/>
      <c r="M50" s="42"/>
      <c r="N50" s="41"/>
      <c r="O50" s="42"/>
      <c r="P50" s="42"/>
      <c r="Q50" s="41"/>
      <c r="R50" s="30"/>
      <c r="S50" s="54"/>
      <c r="T50" s="55"/>
      <c r="U50" s="54"/>
      <c r="V50" s="54"/>
      <c r="W50" s="54"/>
      <c r="X50" s="54"/>
      <c r="Y50" s="54"/>
      <c r="Z50" s="54"/>
      <c r="AA50" s="54"/>
      <c r="AB50" s="54"/>
      <c r="AC50" s="54"/>
    </row>
    <row r="51" ht="13.8" spans="1:29">
      <c r="A51" s="30"/>
      <c r="B51" s="30"/>
      <c r="C51" s="30"/>
      <c r="D51" s="31"/>
      <c r="E51" s="31"/>
      <c r="F51" s="30"/>
      <c r="G51" s="32"/>
      <c r="H51" s="33"/>
      <c r="I51" s="33"/>
      <c r="J51" s="42"/>
      <c r="K51" s="41"/>
      <c r="L51" s="42"/>
      <c r="M51" s="42"/>
      <c r="N51" s="41"/>
      <c r="O51" s="42"/>
      <c r="P51" s="42"/>
      <c r="Q51" s="41"/>
      <c r="R51" s="30"/>
      <c r="S51" s="54"/>
      <c r="T51" s="55"/>
      <c r="U51" s="54"/>
      <c r="V51" s="54"/>
      <c r="W51" s="54"/>
      <c r="X51" s="54"/>
      <c r="Y51" s="54"/>
      <c r="Z51" s="54"/>
      <c r="AA51" s="54"/>
      <c r="AB51" s="54"/>
      <c r="AC51" s="54"/>
    </row>
    <row r="52" ht="13.8" outlineLevel="1" spans="1:29">
      <c r="A52" s="30"/>
      <c r="B52" s="30"/>
      <c r="C52" s="30"/>
      <c r="D52" s="31"/>
      <c r="E52" s="31"/>
      <c r="F52" s="30"/>
      <c r="G52" s="32"/>
      <c r="H52" s="33"/>
      <c r="I52" s="33"/>
      <c r="J52" s="42"/>
      <c r="K52" s="41"/>
      <c r="L52" s="42"/>
      <c r="M52" s="42"/>
      <c r="N52" s="41"/>
      <c r="O52" s="42"/>
      <c r="P52" s="42"/>
      <c r="Q52" s="41"/>
      <c r="R52" s="30"/>
      <c r="S52" s="37"/>
      <c r="T52" s="56"/>
      <c r="U52" s="37"/>
      <c r="V52" s="37"/>
      <c r="W52" s="37"/>
      <c r="X52" s="37"/>
      <c r="Y52" s="37"/>
      <c r="Z52" s="37"/>
      <c r="AA52" s="37"/>
      <c r="AB52" s="37"/>
      <c r="AC52" s="37"/>
    </row>
    <row r="53" ht="13.8" outlineLevel="1" spans="1:29">
      <c r="A53" s="30"/>
      <c r="B53" s="30"/>
      <c r="C53" s="30"/>
      <c r="D53" s="31"/>
      <c r="E53" s="31"/>
      <c r="F53" s="30"/>
      <c r="G53" s="32"/>
      <c r="H53" s="33"/>
      <c r="I53" s="33"/>
      <c r="J53" s="42"/>
      <c r="K53" s="41"/>
      <c r="L53" s="42"/>
      <c r="M53" s="42"/>
      <c r="N53" s="41"/>
      <c r="O53" s="42"/>
      <c r="P53" s="42"/>
      <c r="Q53" s="41"/>
      <c r="R53" s="30"/>
      <c r="S53" s="37"/>
      <c r="T53" s="56"/>
      <c r="U53" s="37"/>
      <c r="V53" s="37"/>
      <c r="W53" s="37"/>
      <c r="X53" s="37"/>
      <c r="Y53" s="37"/>
      <c r="Z53" s="37"/>
      <c r="AA53" s="37"/>
      <c r="AB53" s="37"/>
      <c r="AC53" s="37"/>
    </row>
    <row r="54" ht="64.5" customHeight="1" outlineLevel="1" spans="1:29">
      <c r="A54" s="62"/>
      <c r="B54" s="62"/>
      <c r="C54" s="62"/>
      <c r="D54" s="63"/>
      <c r="E54" s="63"/>
      <c r="F54" s="62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62"/>
      <c r="S54" s="37"/>
      <c r="T54" s="57"/>
      <c r="U54" s="37"/>
      <c r="V54" s="37"/>
      <c r="W54" s="37"/>
      <c r="X54" s="37"/>
      <c r="Y54" s="37"/>
      <c r="Z54" s="37"/>
      <c r="AA54" s="37"/>
      <c r="AB54" s="37"/>
      <c r="AC54" s="37"/>
    </row>
    <row r="55" ht="64.5" customHeight="1" spans="1:29">
      <c r="A55" s="62"/>
      <c r="B55" s="62"/>
      <c r="C55" s="62"/>
      <c r="D55" s="63"/>
      <c r="E55" s="63"/>
      <c r="F55" s="62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67"/>
      <c r="S55" s="54"/>
      <c r="T55" s="55"/>
      <c r="U55" s="54"/>
      <c r="V55" s="54"/>
      <c r="W55" s="54"/>
      <c r="X55" s="54"/>
      <c r="Y55" s="54"/>
      <c r="Z55" s="54"/>
      <c r="AA55" s="54"/>
      <c r="AB55" s="54"/>
      <c r="AC55" s="54"/>
    </row>
    <row r="56" ht="64.5" customHeight="1" outlineLevel="1" spans="1:29">
      <c r="A56" s="62"/>
      <c r="B56" s="62"/>
      <c r="C56" s="62"/>
      <c r="D56" s="63"/>
      <c r="E56" s="63"/>
      <c r="F56" s="62"/>
      <c r="G56" s="1"/>
      <c r="H56" s="64"/>
      <c r="I56" s="64"/>
      <c r="J56" s="1"/>
      <c r="K56" s="1"/>
      <c r="L56" s="1"/>
      <c r="M56" s="1"/>
      <c r="N56" s="1"/>
      <c r="O56" s="1"/>
      <c r="P56" s="1"/>
      <c r="Q56" s="1"/>
      <c r="R56" s="67"/>
      <c r="S56" s="37"/>
      <c r="T56" s="56"/>
      <c r="U56" s="37"/>
      <c r="V56" s="37"/>
      <c r="W56" s="37"/>
      <c r="X56" s="37"/>
      <c r="Y56" s="37"/>
      <c r="Z56" s="37"/>
      <c r="AA56" s="37"/>
      <c r="AB56" s="37"/>
      <c r="AC56" s="37"/>
    </row>
    <row r="57" ht="64.5" customHeight="1" spans="1:29">
      <c r="A57" s="62"/>
      <c r="B57" s="62"/>
      <c r="C57" s="62"/>
      <c r="D57" s="65"/>
      <c r="E57" s="65"/>
      <c r="F57" s="66"/>
      <c r="G57" s="1"/>
      <c r="H57" s="64"/>
      <c r="I57" s="64"/>
      <c r="J57" s="1"/>
      <c r="K57" s="1"/>
      <c r="L57" s="1"/>
      <c r="M57" s="1"/>
      <c r="N57" s="1"/>
      <c r="O57" s="1"/>
      <c r="P57" s="1"/>
      <c r="Q57" s="1"/>
      <c r="R57" s="66"/>
      <c r="S57" s="37"/>
      <c r="T57" s="57"/>
      <c r="U57" s="37"/>
      <c r="V57" s="37"/>
      <c r="W57" s="37"/>
      <c r="X57" s="37"/>
      <c r="Y57" s="37"/>
      <c r="Z57" s="37"/>
      <c r="AA57" s="37"/>
      <c r="AB57" s="37"/>
      <c r="AC57" s="37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37"/>
      <c r="C223" s="38"/>
      <c r="D223" s="39"/>
      <c r="E223" s="39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37"/>
      <c r="C224" s="38"/>
      <c r="D224" s="39"/>
      <c r="E224" s="39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37"/>
      <c r="C225" s="38"/>
      <c r="D225" s="39"/>
      <c r="E225" s="39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37"/>
      <c r="C226" s="38"/>
      <c r="D226" s="39"/>
      <c r="E226" s="39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37"/>
      <c r="C227" s="38"/>
      <c r="D227" s="39"/>
      <c r="E227" s="39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37"/>
      <c r="C228" s="38"/>
      <c r="D228" s="39"/>
      <c r="E228" s="39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37"/>
      <c r="C229" s="38"/>
      <c r="D229" s="39"/>
      <c r="E229" s="39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2.75" customHeight="1" spans="1:29">
      <c r="A247" s="37"/>
      <c r="B247" s="43"/>
      <c r="C247" s="58"/>
      <c r="D247" s="59"/>
      <c r="E247" s="59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2.75" customHeight="1" spans="1:29">
      <c r="A248" s="37"/>
      <c r="B248" s="43"/>
      <c r="C248" s="58"/>
      <c r="D248" s="59"/>
      <c r="E248" s="59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2.75" customHeight="1" spans="1:29">
      <c r="A249" s="37"/>
      <c r="B249" s="43"/>
      <c r="C249" s="58"/>
      <c r="D249" s="59"/>
      <c r="E249" s="59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2.75" customHeight="1" spans="1:29">
      <c r="A250" s="37"/>
      <c r="B250" s="43"/>
      <c r="C250" s="58"/>
      <c r="D250" s="59"/>
      <c r="E250" s="59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2.75" customHeight="1" spans="1:29">
      <c r="A251" s="37"/>
      <c r="B251" s="43"/>
      <c r="C251" s="58"/>
      <c r="D251" s="59"/>
      <c r="E251" s="59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2.75" customHeight="1" spans="1:29">
      <c r="A252" s="37"/>
      <c r="B252" s="43"/>
      <c r="C252" s="58"/>
      <c r="D252" s="59"/>
      <c r="E252" s="59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2.75" customHeight="1" spans="1:29">
      <c r="A253" s="37"/>
      <c r="B253" s="43"/>
      <c r="C253" s="58"/>
      <c r="D253" s="59"/>
      <c r="E253" s="59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7:H57 G11:G56 H2:H3 L11:L57 M2:M3 O11:O5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19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149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COUNTA(B11:B959)-COUNTIF($N11:$N959,"Skip")</f>
        <v>20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COUNTIF($G11:$G959,C5)</f>
        <v>20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COUNTIF($L11:$L959,C5)</f>
        <v>20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COUNTIF($O11:$O959,C5)</f>
        <v>20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79.2" spans="1:29">
      <c r="A11" s="30" t="s">
        <v>148</v>
      </c>
      <c r="B11" s="30" t="s">
        <v>1585</v>
      </c>
      <c r="C11" s="30" t="s">
        <v>1586</v>
      </c>
      <c r="D11" s="31" t="s">
        <v>1587</v>
      </c>
      <c r="E11" s="31" t="s">
        <v>1588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305</v>
      </c>
      <c r="L11" s="42" t="s">
        <v>209</v>
      </c>
      <c r="M11" s="40">
        <v>45993</v>
      </c>
      <c r="N11" s="41" t="s">
        <v>305</v>
      </c>
      <c r="O11" s="42" t="s">
        <v>209</v>
      </c>
      <c r="P11" s="40">
        <v>45995</v>
      </c>
      <c r="Q11" s="41" t="s">
        <v>305</v>
      </c>
      <c r="R11" s="3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26.4" spans="1:29">
      <c r="A12" s="30" t="s">
        <v>148</v>
      </c>
      <c r="B12" s="30" t="s">
        <v>1589</v>
      </c>
      <c r="C12" s="30" t="s">
        <v>1590</v>
      </c>
      <c r="D12" s="31" t="s">
        <v>1591</v>
      </c>
      <c r="E12" s="31" t="s">
        <v>1592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305</v>
      </c>
      <c r="L12" s="42" t="s">
        <v>209</v>
      </c>
      <c r="M12" s="40">
        <v>45993</v>
      </c>
      <c r="N12" s="41" t="s">
        <v>305</v>
      </c>
      <c r="O12" s="42" t="s">
        <v>209</v>
      </c>
      <c r="P12" s="40">
        <v>45995</v>
      </c>
      <c r="Q12" s="41" t="s">
        <v>305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26.4" spans="1:29">
      <c r="A13" s="30" t="s">
        <v>148</v>
      </c>
      <c r="B13" s="30" t="s">
        <v>1593</v>
      </c>
      <c r="C13" s="30" t="s">
        <v>1594</v>
      </c>
      <c r="D13" s="31" t="s">
        <v>1595</v>
      </c>
      <c r="E13" s="31" t="s">
        <v>1596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305</v>
      </c>
      <c r="L13" s="42" t="s">
        <v>209</v>
      </c>
      <c r="M13" s="40">
        <v>45993</v>
      </c>
      <c r="N13" s="41" t="s">
        <v>305</v>
      </c>
      <c r="O13" s="42" t="s">
        <v>209</v>
      </c>
      <c r="P13" s="40">
        <v>45995</v>
      </c>
      <c r="Q13" s="41" t="s">
        <v>305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26.4" spans="1:29">
      <c r="A14" s="30" t="s">
        <v>148</v>
      </c>
      <c r="B14" s="30" t="s">
        <v>1597</v>
      </c>
      <c r="C14" s="30" t="s">
        <v>1598</v>
      </c>
      <c r="D14" s="31" t="s">
        <v>1599</v>
      </c>
      <c r="E14" s="31" t="s">
        <v>1600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305</v>
      </c>
      <c r="L14" s="42" t="s">
        <v>209</v>
      </c>
      <c r="M14" s="40">
        <v>45993</v>
      </c>
      <c r="N14" s="41" t="s">
        <v>305</v>
      </c>
      <c r="O14" s="42" t="s">
        <v>209</v>
      </c>
      <c r="P14" s="40">
        <v>45995</v>
      </c>
      <c r="Q14" s="41" t="s">
        <v>305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26.4" spans="1:29">
      <c r="A15" s="30" t="s">
        <v>150</v>
      </c>
      <c r="B15" s="30" t="s">
        <v>1601</v>
      </c>
      <c r="C15" s="30" t="s">
        <v>1602</v>
      </c>
      <c r="D15" s="31" t="s">
        <v>1587</v>
      </c>
      <c r="E15" s="31" t="s">
        <v>1603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305</v>
      </c>
      <c r="L15" s="42" t="s">
        <v>209</v>
      </c>
      <c r="M15" s="40">
        <v>45993</v>
      </c>
      <c r="N15" s="41" t="s">
        <v>305</v>
      </c>
      <c r="O15" s="42" t="s">
        <v>209</v>
      </c>
      <c r="P15" s="40">
        <v>45995</v>
      </c>
      <c r="Q15" s="41" t="s">
        <v>305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26.4" spans="1:29">
      <c r="A16" s="30" t="s">
        <v>150</v>
      </c>
      <c r="B16" s="30" t="s">
        <v>1604</v>
      </c>
      <c r="C16" s="30" t="s">
        <v>1605</v>
      </c>
      <c r="D16" s="31" t="s">
        <v>1591</v>
      </c>
      <c r="E16" s="31" t="s">
        <v>1606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305</v>
      </c>
      <c r="L16" s="42" t="s">
        <v>209</v>
      </c>
      <c r="M16" s="40">
        <v>45993</v>
      </c>
      <c r="N16" s="41" t="s">
        <v>305</v>
      </c>
      <c r="O16" s="42" t="s">
        <v>209</v>
      </c>
      <c r="P16" s="40">
        <v>45995</v>
      </c>
      <c r="Q16" s="41" t="s">
        <v>305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26.4" spans="1:29">
      <c r="A17" s="30" t="s">
        <v>150</v>
      </c>
      <c r="B17" s="30" t="s">
        <v>1607</v>
      </c>
      <c r="C17" s="30" t="s">
        <v>1608</v>
      </c>
      <c r="D17" s="31" t="s">
        <v>1609</v>
      </c>
      <c r="E17" s="31" t="s">
        <v>1596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305</v>
      </c>
      <c r="L17" s="42" t="s">
        <v>209</v>
      </c>
      <c r="M17" s="40">
        <v>45993</v>
      </c>
      <c r="N17" s="41" t="s">
        <v>305</v>
      </c>
      <c r="O17" s="42" t="s">
        <v>209</v>
      </c>
      <c r="P17" s="40">
        <v>45995</v>
      </c>
      <c r="Q17" s="41" t="s">
        <v>305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26.4" spans="1:29">
      <c r="A18" s="30" t="s">
        <v>150</v>
      </c>
      <c r="B18" s="30" t="s">
        <v>1610</v>
      </c>
      <c r="C18" s="30" t="s">
        <v>1611</v>
      </c>
      <c r="D18" s="31" t="s">
        <v>1599</v>
      </c>
      <c r="E18" s="31" t="s">
        <v>1606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305</v>
      </c>
      <c r="L18" s="42" t="s">
        <v>209</v>
      </c>
      <c r="M18" s="40">
        <v>45993</v>
      </c>
      <c r="N18" s="41" t="s">
        <v>305</v>
      </c>
      <c r="O18" s="42" t="s">
        <v>209</v>
      </c>
      <c r="P18" s="40">
        <v>45995</v>
      </c>
      <c r="Q18" s="41" t="s">
        <v>305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66" spans="1:29">
      <c r="A19" s="30" t="s">
        <v>151</v>
      </c>
      <c r="B19" s="30" t="s">
        <v>1612</v>
      </c>
      <c r="C19" s="30" t="s">
        <v>1613</v>
      </c>
      <c r="D19" s="31" t="s">
        <v>1614</v>
      </c>
      <c r="E19" s="31" t="s">
        <v>1615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305</v>
      </c>
      <c r="L19" s="42" t="s">
        <v>209</v>
      </c>
      <c r="M19" s="40">
        <v>45993</v>
      </c>
      <c r="N19" s="41" t="s">
        <v>305</v>
      </c>
      <c r="O19" s="42" t="s">
        <v>209</v>
      </c>
      <c r="P19" s="40">
        <v>45995</v>
      </c>
      <c r="Q19" s="41" t="s">
        <v>305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52.8" spans="1:29">
      <c r="A20" s="30" t="s">
        <v>151</v>
      </c>
      <c r="B20" s="30" t="s">
        <v>1616</v>
      </c>
      <c r="C20" s="30" t="s">
        <v>1617</v>
      </c>
      <c r="D20" s="31" t="s">
        <v>1618</v>
      </c>
      <c r="E20" s="31" t="s">
        <v>1619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305</v>
      </c>
      <c r="L20" s="42" t="s">
        <v>209</v>
      </c>
      <c r="M20" s="40">
        <v>45993</v>
      </c>
      <c r="N20" s="41" t="s">
        <v>305</v>
      </c>
      <c r="O20" s="42" t="s">
        <v>209</v>
      </c>
      <c r="P20" s="40">
        <v>45995</v>
      </c>
      <c r="Q20" s="41" t="s">
        <v>305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92.4" spans="1:29">
      <c r="A21" s="30" t="s">
        <v>151</v>
      </c>
      <c r="B21" s="30" t="s">
        <v>1620</v>
      </c>
      <c r="C21" s="30" t="s">
        <v>1621</v>
      </c>
      <c r="D21" s="31" t="s">
        <v>1622</v>
      </c>
      <c r="E21" s="31" t="s">
        <v>1623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305</v>
      </c>
      <c r="L21" s="42" t="s">
        <v>209</v>
      </c>
      <c r="M21" s="40">
        <v>45993</v>
      </c>
      <c r="N21" s="41" t="s">
        <v>305</v>
      </c>
      <c r="O21" s="42" t="s">
        <v>209</v>
      </c>
      <c r="P21" s="40">
        <v>45995</v>
      </c>
      <c r="Q21" s="41" t="s">
        <v>305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26.4" spans="1:29">
      <c r="A22" s="30" t="s">
        <v>151</v>
      </c>
      <c r="B22" s="30" t="s">
        <v>1624</v>
      </c>
      <c r="C22" s="30" t="s">
        <v>1625</v>
      </c>
      <c r="D22" s="31" t="s">
        <v>1626</v>
      </c>
      <c r="E22" s="31" t="s">
        <v>1627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305</v>
      </c>
      <c r="L22" s="42" t="s">
        <v>209</v>
      </c>
      <c r="M22" s="40">
        <v>45993</v>
      </c>
      <c r="N22" s="41" t="s">
        <v>305</v>
      </c>
      <c r="O22" s="42" t="s">
        <v>209</v>
      </c>
      <c r="P22" s="40">
        <v>45995</v>
      </c>
      <c r="Q22" s="41" t="s">
        <v>305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39.6" spans="1:29">
      <c r="A23" s="30" t="s">
        <v>151</v>
      </c>
      <c r="B23" s="30" t="s">
        <v>1628</v>
      </c>
      <c r="C23" s="30" t="s">
        <v>1629</v>
      </c>
      <c r="D23" s="31" t="s">
        <v>1630</v>
      </c>
      <c r="E23" s="31" t="s">
        <v>1631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305</v>
      </c>
      <c r="L23" s="42" t="s">
        <v>209</v>
      </c>
      <c r="M23" s="40">
        <v>45993</v>
      </c>
      <c r="N23" s="41" t="s">
        <v>305</v>
      </c>
      <c r="O23" s="42" t="s">
        <v>209</v>
      </c>
      <c r="P23" s="40">
        <v>45995</v>
      </c>
      <c r="Q23" s="41" t="s">
        <v>305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39.6" spans="1:29">
      <c r="A24" s="30" t="s">
        <v>151</v>
      </c>
      <c r="B24" s="30" t="s">
        <v>1632</v>
      </c>
      <c r="C24" s="30" t="s">
        <v>1633</v>
      </c>
      <c r="D24" s="31" t="s">
        <v>1634</v>
      </c>
      <c r="E24" s="31" t="s">
        <v>1635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305</v>
      </c>
      <c r="L24" s="42" t="s">
        <v>209</v>
      </c>
      <c r="M24" s="40">
        <v>45993</v>
      </c>
      <c r="N24" s="41" t="s">
        <v>305</v>
      </c>
      <c r="O24" s="42" t="s">
        <v>209</v>
      </c>
      <c r="P24" s="40">
        <v>45995</v>
      </c>
      <c r="Q24" s="41" t="s">
        <v>305</v>
      </c>
      <c r="R24" s="30"/>
      <c r="S24" s="47"/>
      <c r="T24" s="51"/>
      <c r="U24" s="47"/>
      <c r="V24" s="47"/>
      <c r="W24" s="47"/>
      <c r="X24" s="47"/>
      <c r="Y24" s="47"/>
      <c r="Z24" s="47"/>
      <c r="AA24" s="47"/>
      <c r="AB24" s="47"/>
      <c r="AC24" s="47"/>
    </row>
    <row r="25" ht="39.6" outlineLevel="1" spans="1:29">
      <c r="A25" s="30" t="s">
        <v>151</v>
      </c>
      <c r="B25" s="30" t="s">
        <v>1636</v>
      </c>
      <c r="C25" s="30" t="s">
        <v>1637</v>
      </c>
      <c r="D25" s="31" t="s">
        <v>1638</v>
      </c>
      <c r="E25" s="31" t="s">
        <v>1639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305</v>
      </c>
      <c r="L25" s="42" t="s">
        <v>209</v>
      </c>
      <c r="M25" s="40">
        <v>45993</v>
      </c>
      <c r="N25" s="41" t="s">
        <v>305</v>
      </c>
      <c r="O25" s="42" t="s">
        <v>209</v>
      </c>
      <c r="P25" s="40">
        <v>45995</v>
      </c>
      <c r="Q25" s="41" t="s">
        <v>305</v>
      </c>
      <c r="R25" s="30"/>
      <c r="S25" s="52"/>
      <c r="T25" s="53"/>
      <c r="U25" s="52"/>
      <c r="V25" s="52"/>
      <c r="W25" s="52"/>
      <c r="X25" s="52"/>
      <c r="Y25" s="52"/>
      <c r="Z25" s="52"/>
      <c r="AA25" s="52"/>
      <c r="AB25" s="52"/>
      <c r="AC25" s="52"/>
    </row>
    <row r="26" ht="39.6" outlineLevel="1" spans="1:29">
      <c r="A26" s="30" t="s">
        <v>151</v>
      </c>
      <c r="B26" s="30" t="s">
        <v>1640</v>
      </c>
      <c r="C26" s="30" t="s">
        <v>1641</v>
      </c>
      <c r="D26" s="31" t="s">
        <v>1642</v>
      </c>
      <c r="E26" s="31" t="s">
        <v>1592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305</v>
      </c>
      <c r="L26" s="42" t="s">
        <v>209</v>
      </c>
      <c r="M26" s="40">
        <v>45993</v>
      </c>
      <c r="N26" s="41" t="s">
        <v>305</v>
      </c>
      <c r="O26" s="42" t="s">
        <v>209</v>
      </c>
      <c r="P26" s="40">
        <v>45995</v>
      </c>
      <c r="Q26" s="41" t="s">
        <v>305</v>
      </c>
      <c r="R26" s="30"/>
      <c r="S26" s="43"/>
      <c r="T26" s="53"/>
      <c r="U26" s="43"/>
      <c r="V26" s="43"/>
      <c r="W26" s="43"/>
      <c r="X26" s="43"/>
      <c r="Y26" s="43"/>
      <c r="Z26" s="43"/>
      <c r="AA26" s="43"/>
      <c r="AB26" s="43"/>
      <c r="AC26" s="43"/>
    </row>
    <row r="27" ht="39.6" outlineLevel="1" spans="1:29">
      <c r="A27" s="30" t="s">
        <v>151</v>
      </c>
      <c r="B27" s="30" t="s">
        <v>1643</v>
      </c>
      <c r="C27" s="30" t="s">
        <v>1644</v>
      </c>
      <c r="D27" s="31" t="s">
        <v>1645</v>
      </c>
      <c r="E27" s="31" t="s">
        <v>1646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305</v>
      </c>
      <c r="L27" s="42" t="s">
        <v>209</v>
      </c>
      <c r="M27" s="40">
        <v>45993</v>
      </c>
      <c r="N27" s="41" t="s">
        <v>305</v>
      </c>
      <c r="O27" s="42" t="s">
        <v>209</v>
      </c>
      <c r="P27" s="40">
        <v>45995</v>
      </c>
      <c r="Q27" s="41" t="s">
        <v>305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39.6" outlineLevel="1" spans="1:29">
      <c r="A28" s="30" t="s">
        <v>151</v>
      </c>
      <c r="B28" s="30" t="s">
        <v>1647</v>
      </c>
      <c r="C28" s="30" t="s">
        <v>1648</v>
      </c>
      <c r="D28" s="31" t="s">
        <v>1649</v>
      </c>
      <c r="E28" s="31" t="s">
        <v>1650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305</v>
      </c>
      <c r="L28" s="42" t="s">
        <v>209</v>
      </c>
      <c r="M28" s="40">
        <v>45993</v>
      </c>
      <c r="N28" s="41" t="s">
        <v>305</v>
      </c>
      <c r="O28" s="42" t="s">
        <v>209</v>
      </c>
      <c r="P28" s="40">
        <v>45995</v>
      </c>
      <c r="Q28" s="41" t="s">
        <v>305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66" outlineLevel="1" spans="1:29">
      <c r="A29" s="30" t="s">
        <v>151</v>
      </c>
      <c r="B29" s="30" t="s">
        <v>1651</v>
      </c>
      <c r="C29" s="30" t="s">
        <v>1652</v>
      </c>
      <c r="D29" s="31" t="s">
        <v>1653</v>
      </c>
      <c r="E29" s="31" t="s">
        <v>1654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305</v>
      </c>
      <c r="L29" s="42" t="s">
        <v>209</v>
      </c>
      <c r="M29" s="40">
        <v>45993</v>
      </c>
      <c r="N29" s="41" t="s">
        <v>305</v>
      </c>
      <c r="O29" s="42" t="s">
        <v>209</v>
      </c>
      <c r="P29" s="40">
        <v>45995</v>
      </c>
      <c r="Q29" s="41" t="s">
        <v>305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66" outlineLevel="1" spans="1:29">
      <c r="A30" s="30" t="s">
        <v>151</v>
      </c>
      <c r="B30" s="30" t="s">
        <v>1655</v>
      </c>
      <c r="C30" s="30" t="s">
        <v>1656</v>
      </c>
      <c r="D30" s="31" t="s">
        <v>1657</v>
      </c>
      <c r="E30" s="31" t="s">
        <v>1658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305</v>
      </c>
      <c r="L30" s="42" t="s">
        <v>209</v>
      </c>
      <c r="M30" s="40">
        <v>45993</v>
      </c>
      <c r="N30" s="41" t="s">
        <v>305</v>
      </c>
      <c r="O30" s="42" t="s">
        <v>209</v>
      </c>
      <c r="P30" s="40">
        <v>45995</v>
      </c>
      <c r="Q30" s="41" t="s">
        <v>305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13.8" outlineLevel="1" spans="1:29">
      <c r="A31" s="30"/>
      <c r="B31" s="30"/>
      <c r="C31" s="30"/>
      <c r="D31" s="31"/>
      <c r="E31" s="31"/>
      <c r="F31" s="30"/>
      <c r="G31" s="32"/>
      <c r="H31" s="33"/>
      <c r="I31" s="33"/>
      <c r="J31" s="42"/>
      <c r="K31" s="41"/>
      <c r="L31" s="42"/>
      <c r="M31" s="42"/>
      <c r="N31" s="41"/>
      <c r="O31" s="42"/>
      <c r="P31" s="42"/>
      <c r="Q31" s="41"/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13.8" outlineLevel="1" spans="1:29">
      <c r="A32" s="30"/>
      <c r="B32" s="30"/>
      <c r="C32" s="30"/>
      <c r="D32" s="31"/>
      <c r="E32" s="31"/>
      <c r="F32" s="30"/>
      <c r="G32" s="32"/>
      <c r="H32" s="33"/>
      <c r="I32" s="33"/>
      <c r="J32" s="42"/>
      <c r="K32" s="41"/>
      <c r="L32" s="42"/>
      <c r="M32" s="42"/>
      <c r="N32" s="41"/>
      <c r="O32" s="42"/>
      <c r="P32" s="42"/>
      <c r="Q32" s="41"/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3.8" outlineLevel="1" spans="1:29">
      <c r="A33" s="30"/>
      <c r="B33" s="30"/>
      <c r="C33" s="30"/>
      <c r="D33" s="31"/>
      <c r="E33" s="31"/>
      <c r="F33" s="30"/>
      <c r="G33" s="32"/>
      <c r="H33" s="33"/>
      <c r="I33" s="33"/>
      <c r="J33" s="42"/>
      <c r="K33" s="41"/>
      <c r="L33" s="42"/>
      <c r="M33" s="42"/>
      <c r="N33" s="41"/>
      <c r="O33" s="42"/>
      <c r="P33" s="42"/>
      <c r="Q33" s="41"/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3.8" outlineLevel="1" spans="1:29">
      <c r="A34" s="30"/>
      <c r="B34" s="30"/>
      <c r="C34" s="30"/>
      <c r="D34" s="31"/>
      <c r="E34" s="31"/>
      <c r="F34" s="30"/>
      <c r="G34" s="32"/>
      <c r="H34" s="33"/>
      <c r="I34" s="33"/>
      <c r="J34" s="42"/>
      <c r="K34" s="41"/>
      <c r="L34" s="42"/>
      <c r="M34" s="42"/>
      <c r="N34" s="41"/>
      <c r="O34" s="42"/>
      <c r="P34" s="42"/>
      <c r="Q34" s="41"/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3.8" outlineLevel="1" spans="1:29">
      <c r="A35" s="30"/>
      <c r="B35" s="30"/>
      <c r="C35" s="30"/>
      <c r="D35" s="31"/>
      <c r="E35" s="31"/>
      <c r="F35" s="30"/>
      <c r="G35" s="32"/>
      <c r="H35" s="33"/>
      <c r="I35" s="33"/>
      <c r="J35" s="42"/>
      <c r="K35" s="41"/>
      <c r="L35" s="42"/>
      <c r="M35" s="42"/>
      <c r="N35" s="41"/>
      <c r="O35" s="42"/>
      <c r="P35" s="42"/>
      <c r="Q35" s="41"/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3.8" outlineLevel="1" spans="1:29">
      <c r="A36" s="30"/>
      <c r="B36" s="30"/>
      <c r="C36" s="30"/>
      <c r="D36" s="31"/>
      <c r="E36" s="31"/>
      <c r="F36" s="30"/>
      <c r="G36" s="32"/>
      <c r="H36" s="33"/>
      <c r="I36" s="33"/>
      <c r="J36" s="42"/>
      <c r="K36" s="41"/>
      <c r="L36" s="42"/>
      <c r="M36" s="42"/>
      <c r="N36" s="41"/>
      <c r="O36" s="42"/>
      <c r="P36" s="42"/>
      <c r="Q36" s="41"/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3.8" outlineLevel="1" spans="1:29">
      <c r="A37" s="30"/>
      <c r="B37" s="30"/>
      <c r="C37" s="30"/>
      <c r="D37" s="31"/>
      <c r="E37" s="31"/>
      <c r="F37" s="30"/>
      <c r="G37" s="32"/>
      <c r="H37" s="33"/>
      <c r="I37" s="33"/>
      <c r="J37" s="42"/>
      <c r="K37" s="41"/>
      <c r="L37" s="42"/>
      <c r="M37" s="42"/>
      <c r="N37" s="41"/>
      <c r="O37" s="42"/>
      <c r="P37" s="42"/>
      <c r="Q37" s="41"/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8" outlineLevel="1" spans="1:29">
      <c r="A38" s="30"/>
      <c r="B38" s="30"/>
      <c r="C38" s="30"/>
      <c r="D38" s="31"/>
      <c r="E38" s="31"/>
      <c r="F38" s="30"/>
      <c r="G38" s="32"/>
      <c r="H38" s="33"/>
      <c r="I38" s="33"/>
      <c r="J38" s="42"/>
      <c r="K38" s="41"/>
      <c r="L38" s="42"/>
      <c r="M38" s="42"/>
      <c r="N38" s="41"/>
      <c r="O38" s="42"/>
      <c r="P38" s="42"/>
      <c r="Q38" s="41"/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8" outlineLevel="1" spans="1:29">
      <c r="A39" s="30"/>
      <c r="B39" s="30"/>
      <c r="C39" s="30"/>
      <c r="D39" s="31"/>
      <c r="E39" s="31"/>
      <c r="F39" s="30"/>
      <c r="G39" s="32"/>
      <c r="H39" s="33"/>
      <c r="I39" s="33"/>
      <c r="J39" s="42"/>
      <c r="K39" s="41"/>
      <c r="L39" s="42"/>
      <c r="M39" s="42"/>
      <c r="N39" s="41"/>
      <c r="O39" s="42"/>
      <c r="P39" s="42"/>
      <c r="Q39" s="41"/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8" outlineLevel="1" spans="1:29">
      <c r="A40" s="30"/>
      <c r="B40" s="30"/>
      <c r="C40" s="30"/>
      <c r="D40" s="31"/>
      <c r="E40" s="31"/>
      <c r="F40" s="30"/>
      <c r="G40" s="32"/>
      <c r="H40" s="33"/>
      <c r="I40" s="33"/>
      <c r="J40" s="42"/>
      <c r="K40" s="41"/>
      <c r="L40" s="42"/>
      <c r="M40" s="42"/>
      <c r="N40" s="41"/>
      <c r="O40" s="42"/>
      <c r="P40" s="42"/>
      <c r="Q40" s="41"/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8" outlineLevel="1" spans="1:29">
      <c r="A41" s="30"/>
      <c r="B41" s="30"/>
      <c r="C41" s="30"/>
      <c r="D41" s="31"/>
      <c r="E41" s="31"/>
      <c r="F41" s="30"/>
      <c r="G41" s="32"/>
      <c r="H41" s="33"/>
      <c r="I41" s="33"/>
      <c r="J41" s="42"/>
      <c r="K41" s="41"/>
      <c r="L41" s="42"/>
      <c r="M41" s="42"/>
      <c r="N41" s="41"/>
      <c r="O41" s="42"/>
      <c r="P41" s="42"/>
      <c r="Q41" s="41"/>
      <c r="R41" s="30"/>
      <c r="S41" s="43"/>
      <c r="T41" s="53"/>
      <c r="U41" s="43"/>
      <c r="V41" s="43"/>
      <c r="W41" s="43"/>
      <c r="X41" s="43"/>
      <c r="Y41" s="43"/>
      <c r="Z41" s="43"/>
      <c r="AA41" s="43"/>
      <c r="AB41" s="43"/>
      <c r="AC41" s="43"/>
    </row>
    <row r="42" ht="13.8" spans="1:29">
      <c r="A42" s="30"/>
      <c r="B42" s="30"/>
      <c r="C42" s="30"/>
      <c r="D42" s="31"/>
      <c r="E42" s="31"/>
      <c r="F42" s="30"/>
      <c r="G42" s="32"/>
      <c r="H42" s="33"/>
      <c r="I42" s="33"/>
      <c r="J42" s="42"/>
      <c r="K42" s="41"/>
      <c r="L42" s="42"/>
      <c r="M42" s="42"/>
      <c r="N42" s="41"/>
      <c r="O42" s="42"/>
      <c r="P42" s="42"/>
      <c r="Q42" s="41"/>
      <c r="R42" s="30"/>
      <c r="S42" s="47"/>
      <c r="T42" s="51"/>
      <c r="U42" s="47"/>
      <c r="V42" s="47"/>
      <c r="W42" s="47"/>
      <c r="X42" s="47"/>
      <c r="Y42" s="47"/>
      <c r="Z42" s="47"/>
      <c r="AA42" s="47"/>
      <c r="AB42" s="47"/>
      <c r="AC42" s="47"/>
    </row>
    <row r="43" ht="13.8" spans="1:29">
      <c r="A43" s="30"/>
      <c r="B43" s="30"/>
      <c r="C43" s="30"/>
      <c r="D43" s="31"/>
      <c r="E43" s="31"/>
      <c r="F43" s="30"/>
      <c r="G43" s="32"/>
      <c r="H43" s="33"/>
      <c r="I43" s="33"/>
      <c r="J43" s="42"/>
      <c r="K43" s="41"/>
      <c r="L43" s="42"/>
      <c r="M43" s="42"/>
      <c r="N43" s="41"/>
      <c r="O43" s="42"/>
      <c r="P43" s="42"/>
      <c r="Q43" s="41"/>
      <c r="R43" s="30"/>
      <c r="S43" s="54"/>
      <c r="T43" s="55"/>
      <c r="U43" s="54"/>
      <c r="V43" s="54"/>
      <c r="W43" s="54"/>
      <c r="X43" s="54"/>
      <c r="Y43" s="54"/>
      <c r="Z43" s="54"/>
      <c r="AA43" s="54"/>
      <c r="AB43" s="54"/>
      <c r="AC43" s="54"/>
    </row>
    <row r="44" ht="13.8" spans="1:29">
      <c r="A44" s="30"/>
      <c r="B44" s="30"/>
      <c r="C44" s="30"/>
      <c r="D44" s="31"/>
      <c r="E44" s="31"/>
      <c r="F44" s="30"/>
      <c r="G44" s="32"/>
      <c r="H44" s="33"/>
      <c r="I44" s="33"/>
      <c r="J44" s="42"/>
      <c r="K44" s="41"/>
      <c r="L44" s="42"/>
      <c r="M44" s="42"/>
      <c r="N44" s="41"/>
      <c r="O44" s="42"/>
      <c r="P44" s="42"/>
      <c r="Q44" s="41"/>
      <c r="R44" s="30"/>
      <c r="S44" s="54"/>
      <c r="T44" s="55"/>
      <c r="U44" s="54"/>
      <c r="V44" s="54"/>
      <c r="W44" s="54"/>
      <c r="X44" s="54"/>
      <c r="Y44" s="54"/>
      <c r="Z44" s="54"/>
      <c r="AA44" s="54"/>
      <c r="AB44" s="54"/>
      <c r="AC44" s="54"/>
    </row>
    <row r="45" ht="13.8" outlineLevel="1" spans="1:29">
      <c r="A45" s="30"/>
      <c r="B45" s="30"/>
      <c r="C45" s="30"/>
      <c r="D45" s="31"/>
      <c r="E45" s="31"/>
      <c r="F45" s="30"/>
      <c r="G45" s="32"/>
      <c r="H45" s="33"/>
      <c r="I45" s="33"/>
      <c r="J45" s="42"/>
      <c r="K45" s="41"/>
      <c r="L45" s="42"/>
      <c r="M45" s="42"/>
      <c r="N45" s="41"/>
      <c r="O45" s="42"/>
      <c r="P45" s="42"/>
      <c r="Q45" s="41"/>
      <c r="R45" s="30"/>
      <c r="S45" s="37"/>
      <c r="T45" s="56"/>
      <c r="U45" s="37"/>
      <c r="V45" s="37"/>
      <c r="W45" s="37"/>
      <c r="X45" s="37"/>
      <c r="Y45" s="37"/>
      <c r="Z45" s="37"/>
      <c r="AA45" s="37"/>
      <c r="AB45" s="37"/>
      <c r="AC45" s="37"/>
    </row>
    <row r="46" ht="13.8" outlineLevel="1" spans="1:29">
      <c r="A46" s="30"/>
      <c r="B46" s="30"/>
      <c r="C46" s="30"/>
      <c r="D46" s="31"/>
      <c r="E46" s="31"/>
      <c r="F46" s="30"/>
      <c r="G46" s="32"/>
      <c r="H46" s="33"/>
      <c r="I46" s="33"/>
      <c r="J46" s="42"/>
      <c r="K46" s="41"/>
      <c r="L46" s="42"/>
      <c r="M46" s="42"/>
      <c r="N46" s="41"/>
      <c r="O46" s="42"/>
      <c r="P46" s="42"/>
      <c r="Q46" s="41"/>
      <c r="R46" s="30"/>
      <c r="S46" s="37"/>
      <c r="T46" s="56"/>
      <c r="U46" s="37"/>
      <c r="V46" s="37"/>
      <c r="W46" s="37"/>
      <c r="X46" s="37"/>
      <c r="Y46" s="37"/>
      <c r="Z46" s="37"/>
      <c r="AA46" s="37"/>
      <c r="AB46" s="37"/>
      <c r="AC46" s="37"/>
    </row>
    <row r="47" ht="64.5" customHeight="1" outlineLevel="1" spans="1:29">
      <c r="A47" s="62"/>
      <c r="B47" s="62"/>
      <c r="C47" s="62"/>
      <c r="D47" s="63"/>
      <c r="E47" s="63"/>
      <c r="F47" s="62"/>
      <c r="G47" s="1"/>
      <c r="H47" s="64"/>
      <c r="I47" s="64"/>
      <c r="J47" s="1"/>
      <c r="K47" s="1"/>
      <c r="L47" s="1"/>
      <c r="M47" s="1"/>
      <c r="N47" s="1"/>
      <c r="O47" s="1"/>
      <c r="P47" s="1"/>
      <c r="Q47" s="1"/>
      <c r="R47" s="62"/>
      <c r="S47" s="37"/>
      <c r="T47" s="57"/>
      <c r="U47" s="37"/>
      <c r="V47" s="37"/>
      <c r="W47" s="37"/>
      <c r="X47" s="37"/>
      <c r="Y47" s="37"/>
      <c r="Z47" s="37"/>
      <c r="AA47" s="37"/>
      <c r="AB47" s="37"/>
      <c r="AC47" s="37"/>
    </row>
    <row r="48" ht="64.5" customHeight="1" spans="1:29">
      <c r="A48" s="62"/>
      <c r="B48" s="62"/>
      <c r="C48" s="62"/>
      <c r="D48" s="63"/>
      <c r="E48" s="63"/>
      <c r="F48" s="62"/>
      <c r="G48" s="1"/>
      <c r="H48" s="64"/>
      <c r="I48" s="64"/>
      <c r="J48" s="1"/>
      <c r="K48" s="1"/>
      <c r="L48" s="1"/>
      <c r="M48" s="1"/>
      <c r="N48" s="1"/>
      <c r="O48" s="1"/>
      <c r="P48" s="1"/>
      <c r="Q48" s="1"/>
      <c r="R48" s="67"/>
      <c r="S48" s="54"/>
      <c r="T48" s="55"/>
      <c r="U48" s="54"/>
      <c r="V48" s="54"/>
      <c r="W48" s="54"/>
      <c r="X48" s="54"/>
      <c r="Y48" s="54"/>
      <c r="Z48" s="54"/>
      <c r="AA48" s="54"/>
      <c r="AB48" s="54"/>
      <c r="AC48" s="54"/>
    </row>
    <row r="49" ht="64.5" customHeight="1" outlineLevel="1" spans="1:29">
      <c r="A49" s="62"/>
      <c r="B49" s="62"/>
      <c r="C49" s="62"/>
      <c r="D49" s="63"/>
      <c r="E49" s="63"/>
      <c r="F49" s="62"/>
      <c r="G49" s="1"/>
      <c r="H49" s="64"/>
      <c r="I49" s="64"/>
      <c r="J49" s="1"/>
      <c r="K49" s="1"/>
      <c r="L49" s="1"/>
      <c r="M49" s="1"/>
      <c r="N49" s="1"/>
      <c r="O49" s="1"/>
      <c r="P49" s="1"/>
      <c r="Q49" s="1"/>
      <c r="R49" s="67"/>
      <c r="S49" s="37"/>
      <c r="T49" s="56"/>
      <c r="U49" s="37"/>
      <c r="V49" s="37"/>
      <c r="W49" s="37"/>
      <c r="X49" s="37"/>
      <c r="Y49" s="37"/>
      <c r="Z49" s="37"/>
      <c r="AA49" s="37"/>
      <c r="AB49" s="37"/>
      <c r="AC49" s="37"/>
    </row>
    <row r="50" ht="64.5" customHeight="1" spans="1:29">
      <c r="A50" s="62"/>
      <c r="B50" s="62"/>
      <c r="C50" s="62"/>
      <c r="D50" s="65"/>
      <c r="E50" s="65"/>
      <c r="F50" s="66"/>
      <c r="G50" s="1"/>
      <c r="H50" s="64"/>
      <c r="I50" s="64"/>
      <c r="J50" s="1"/>
      <c r="K50" s="1"/>
      <c r="L50" s="1"/>
      <c r="M50" s="1"/>
      <c r="N50" s="1"/>
      <c r="O50" s="1"/>
      <c r="P50" s="1"/>
      <c r="Q50" s="1"/>
      <c r="R50" s="66"/>
      <c r="S50" s="37"/>
      <c r="T50" s="57"/>
      <c r="U50" s="37"/>
      <c r="V50" s="37"/>
      <c r="W50" s="37"/>
      <c r="X50" s="37"/>
      <c r="Y50" s="37"/>
      <c r="Z50" s="37"/>
      <c r="AA50" s="37"/>
      <c r="AB50" s="37"/>
      <c r="AC50" s="37"/>
    </row>
    <row r="51" ht="12.75" customHeight="1" spans="1:29">
      <c r="A51" s="37"/>
      <c r="B51" s="37"/>
      <c r="C51" s="38"/>
      <c r="D51" s="39"/>
      <c r="E51" s="39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43"/>
      <c r="T51" s="44"/>
      <c r="U51" s="43"/>
      <c r="V51" s="43"/>
      <c r="W51" s="43"/>
      <c r="X51" s="43"/>
      <c r="Y51" s="43"/>
      <c r="Z51" s="43"/>
      <c r="AA51" s="43"/>
      <c r="AB51" s="43"/>
      <c r="AC51" s="43"/>
    </row>
    <row r="52" ht="12.75" customHeight="1" spans="1:29">
      <c r="A52" s="37"/>
      <c r="B52" s="37"/>
      <c r="C52" s="38"/>
      <c r="D52" s="39"/>
      <c r="E52" s="39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43"/>
      <c r="T52" s="44"/>
      <c r="U52" s="43"/>
      <c r="V52" s="43"/>
      <c r="W52" s="43"/>
      <c r="X52" s="43"/>
      <c r="Y52" s="43"/>
      <c r="Z52" s="43"/>
      <c r="AA52" s="43"/>
      <c r="AB52" s="43"/>
      <c r="AC52" s="43"/>
    </row>
    <row r="53" ht="12.75" customHeight="1" spans="1:29">
      <c r="A53" s="37"/>
      <c r="B53" s="37"/>
      <c r="C53" s="38"/>
      <c r="D53" s="39"/>
      <c r="E53" s="39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43"/>
      <c r="T53" s="44"/>
      <c r="U53" s="43"/>
      <c r="V53" s="43"/>
      <c r="W53" s="43"/>
      <c r="X53" s="43"/>
      <c r="Y53" s="43"/>
      <c r="Z53" s="43"/>
      <c r="AA53" s="43"/>
      <c r="AB53" s="43"/>
      <c r="AC53" s="43"/>
    </row>
    <row r="54" ht="12.75" customHeight="1" spans="1:29">
      <c r="A54" s="37"/>
      <c r="B54" s="37"/>
      <c r="C54" s="38"/>
      <c r="D54" s="39"/>
      <c r="E54" s="39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43"/>
      <c r="T54" s="44"/>
      <c r="U54" s="43"/>
      <c r="V54" s="43"/>
      <c r="W54" s="43"/>
      <c r="X54" s="43"/>
      <c r="Y54" s="43"/>
      <c r="Z54" s="43"/>
      <c r="AA54" s="43"/>
      <c r="AB54" s="43"/>
      <c r="AC54" s="43"/>
    </row>
    <row r="55" ht="12.75" customHeight="1" spans="1:29">
      <c r="A55" s="37"/>
      <c r="B55" s="37"/>
      <c r="C55" s="38"/>
      <c r="D55" s="39"/>
      <c r="E55" s="39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43"/>
      <c r="T55" s="44"/>
      <c r="U55" s="43"/>
      <c r="V55" s="43"/>
      <c r="W55" s="43"/>
      <c r="X55" s="43"/>
      <c r="Y55" s="43"/>
      <c r="Z55" s="43"/>
      <c r="AA55" s="43"/>
      <c r="AB55" s="43"/>
      <c r="AC55" s="43"/>
    </row>
    <row r="56" ht="12.75" customHeight="1" spans="1:29">
      <c r="A56" s="37"/>
      <c r="B56" s="37"/>
      <c r="C56" s="38"/>
      <c r="D56" s="39"/>
      <c r="E56" s="39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43"/>
      <c r="T56" s="44"/>
      <c r="U56" s="43"/>
      <c r="V56" s="43"/>
      <c r="W56" s="43"/>
      <c r="X56" s="43"/>
      <c r="Y56" s="43"/>
      <c r="Z56" s="43"/>
      <c r="AA56" s="43"/>
      <c r="AB56" s="43"/>
      <c r="AC56" s="43"/>
    </row>
    <row r="57" ht="12.75" customHeight="1" spans="1:29">
      <c r="A57" s="37"/>
      <c r="B57" s="37"/>
      <c r="C57" s="38"/>
      <c r="D57" s="39"/>
      <c r="E57" s="39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43"/>
      <c r="T57" s="44"/>
      <c r="U57" s="43"/>
      <c r="V57" s="43"/>
      <c r="W57" s="43"/>
      <c r="X57" s="43"/>
      <c r="Y57" s="43"/>
      <c r="Z57" s="43"/>
      <c r="AA57" s="43"/>
      <c r="AB57" s="43"/>
      <c r="AC57" s="43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37"/>
      <c r="C222" s="38"/>
      <c r="D222" s="39"/>
      <c r="E222" s="39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43"/>
      <c r="C223" s="58"/>
      <c r="D223" s="59"/>
      <c r="E223" s="59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43"/>
      <c r="C224" s="58"/>
      <c r="D224" s="59"/>
      <c r="E224" s="59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43"/>
      <c r="C225" s="58"/>
      <c r="D225" s="59"/>
      <c r="E225" s="59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43"/>
      <c r="C226" s="58"/>
      <c r="D226" s="59"/>
      <c r="E226" s="59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43"/>
      <c r="C227" s="58"/>
      <c r="D227" s="59"/>
      <c r="E227" s="59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43"/>
      <c r="C228" s="58"/>
      <c r="D228" s="59"/>
      <c r="E228" s="59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43"/>
      <c r="C229" s="58"/>
      <c r="D229" s="59"/>
      <c r="E229" s="59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2.75" customHeight="1" spans="1:29">
      <c r="A246" s="37"/>
      <c r="B246" s="43"/>
      <c r="C246" s="58"/>
      <c r="D246" s="59"/>
      <c r="E246" s="59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50:H50 G11:G49 H2:H3 L11:L50 M2:M3 O11:O50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18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141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COUNTA(B11:B958)-COUNTIF($N11:$N958,"Skip")</f>
        <v>51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COUNTIF($G11:$G958,C5)</f>
        <v>51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COUNTIF($L11:$L958,C5)</f>
        <v>51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COUNTIF($O11:$O958,C5)</f>
        <v>51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52.8" spans="1:29">
      <c r="A11" s="30" t="s">
        <v>140</v>
      </c>
      <c r="B11" s="30" t="s">
        <v>1659</v>
      </c>
      <c r="C11" s="30" t="s">
        <v>1660</v>
      </c>
      <c r="D11" s="31" t="s">
        <v>1661</v>
      </c>
      <c r="E11" s="31" t="s">
        <v>1662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305</v>
      </c>
      <c r="L11" s="42" t="s">
        <v>209</v>
      </c>
      <c r="M11" s="61">
        <v>45993</v>
      </c>
      <c r="N11" s="41" t="s">
        <v>305</v>
      </c>
      <c r="O11" s="42" t="s">
        <v>209</v>
      </c>
      <c r="P11" s="40">
        <v>45991</v>
      </c>
      <c r="Q11" s="41" t="s">
        <v>305</v>
      </c>
      <c r="R11" s="3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39.6" spans="1:29">
      <c r="A12" s="30" t="s">
        <v>140</v>
      </c>
      <c r="B12" s="30" t="s">
        <v>1663</v>
      </c>
      <c r="C12" s="30" t="s">
        <v>1664</v>
      </c>
      <c r="D12" s="31" t="s">
        <v>1665</v>
      </c>
      <c r="E12" s="31" t="s">
        <v>1666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305</v>
      </c>
      <c r="L12" s="42" t="s">
        <v>209</v>
      </c>
      <c r="M12" s="61">
        <v>45993</v>
      </c>
      <c r="N12" s="41" t="s">
        <v>305</v>
      </c>
      <c r="O12" s="42" t="s">
        <v>209</v>
      </c>
      <c r="P12" s="40">
        <v>45991</v>
      </c>
      <c r="Q12" s="41" t="s">
        <v>305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39.6" spans="1:29">
      <c r="A13" s="30" t="s">
        <v>140</v>
      </c>
      <c r="B13" s="30" t="s">
        <v>1667</v>
      </c>
      <c r="C13" s="30" t="s">
        <v>1668</v>
      </c>
      <c r="D13" s="31" t="s">
        <v>1669</v>
      </c>
      <c r="E13" s="31" t="s">
        <v>1670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305</v>
      </c>
      <c r="L13" s="42" t="s">
        <v>209</v>
      </c>
      <c r="M13" s="61">
        <v>45993</v>
      </c>
      <c r="N13" s="41" t="s">
        <v>305</v>
      </c>
      <c r="O13" s="42" t="s">
        <v>209</v>
      </c>
      <c r="P13" s="40">
        <v>45991</v>
      </c>
      <c r="Q13" s="41" t="s">
        <v>305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39.6" spans="1:29">
      <c r="A14" s="30" t="s">
        <v>140</v>
      </c>
      <c r="B14" s="30" t="s">
        <v>1671</v>
      </c>
      <c r="C14" s="30" t="s">
        <v>1672</v>
      </c>
      <c r="D14" s="31" t="s">
        <v>1673</v>
      </c>
      <c r="E14" s="31" t="s">
        <v>1674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305</v>
      </c>
      <c r="L14" s="42" t="s">
        <v>209</v>
      </c>
      <c r="M14" s="61">
        <v>45993</v>
      </c>
      <c r="N14" s="41" t="s">
        <v>305</v>
      </c>
      <c r="O14" s="42" t="s">
        <v>209</v>
      </c>
      <c r="P14" s="40">
        <v>45991</v>
      </c>
      <c r="Q14" s="41" t="s">
        <v>305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39.6" spans="1:29">
      <c r="A15" s="30" t="s">
        <v>140</v>
      </c>
      <c r="B15" s="30" t="s">
        <v>1675</v>
      </c>
      <c r="C15" s="30" t="s">
        <v>1676</v>
      </c>
      <c r="D15" s="31" t="s">
        <v>1677</v>
      </c>
      <c r="E15" s="31" t="s">
        <v>1678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305</v>
      </c>
      <c r="L15" s="42" t="s">
        <v>209</v>
      </c>
      <c r="M15" s="61">
        <v>45993</v>
      </c>
      <c r="N15" s="41" t="s">
        <v>305</v>
      </c>
      <c r="O15" s="42" t="s">
        <v>209</v>
      </c>
      <c r="P15" s="40">
        <v>45991</v>
      </c>
      <c r="Q15" s="41" t="s">
        <v>305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39.6" spans="1:29">
      <c r="A16" s="30" t="s">
        <v>140</v>
      </c>
      <c r="B16" s="30" t="s">
        <v>1679</v>
      </c>
      <c r="C16" s="30" t="s">
        <v>1680</v>
      </c>
      <c r="D16" s="31" t="s">
        <v>1681</v>
      </c>
      <c r="E16" s="31" t="s">
        <v>1682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305</v>
      </c>
      <c r="L16" s="42" t="s">
        <v>209</v>
      </c>
      <c r="M16" s="61">
        <v>45993</v>
      </c>
      <c r="N16" s="41" t="s">
        <v>305</v>
      </c>
      <c r="O16" s="42" t="s">
        <v>209</v>
      </c>
      <c r="P16" s="40">
        <v>45991</v>
      </c>
      <c r="Q16" s="41" t="s">
        <v>305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39.6" spans="1:29">
      <c r="A17" s="30" t="s">
        <v>140</v>
      </c>
      <c r="B17" s="30" t="s">
        <v>1683</v>
      </c>
      <c r="C17" s="30" t="s">
        <v>1684</v>
      </c>
      <c r="D17" s="31" t="s">
        <v>1685</v>
      </c>
      <c r="E17" s="31" t="s">
        <v>1686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305</v>
      </c>
      <c r="L17" s="42" t="s">
        <v>209</v>
      </c>
      <c r="M17" s="61">
        <v>45993</v>
      </c>
      <c r="N17" s="41" t="s">
        <v>305</v>
      </c>
      <c r="O17" s="42" t="s">
        <v>209</v>
      </c>
      <c r="P17" s="40">
        <v>45991</v>
      </c>
      <c r="Q17" s="41" t="s">
        <v>305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39.6" spans="1:29">
      <c r="A18" s="30" t="s">
        <v>140</v>
      </c>
      <c r="B18" s="30" t="s">
        <v>1687</v>
      </c>
      <c r="C18" s="30" t="s">
        <v>1688</v>
      </c>
      <c r="D18" s="31" t="s">
        <v>1689</v>
      </c>
      <c r="E18" s="31" t="s">
        <v>1690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305</v>
      </c>
      <c r="L18" s="42" t="s">
        <v>209</v>
      </c>
      <c r="M18" s="61">
        <v>45993</v>
      </c>
      <c r="N18" s="41" t="s">
        <v>305</v>
      </c>
      <c r="O18" s="42" t="s">
        <v>209</v>
      </c>
      <c r="P18" s="40">
        <v>45991</v>
      </c>
      <c r="Q18" s="41" t="s">
        <v>305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79.2" spans="1:29">
      <c r="A19" s="30" t="s">
        <v>142</v>
      </c>
      <c r="B19" s="30" t="s">
        <v>1691</v>
      </c>
      <c r="C19" s="30" t="s">
        <v>1692</v>
      </c>
      <c r="D19" s="31" t="s">
        <v>1693</v>
      </c>
      <c r="E19" s="31" t="s">
        <v>1694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305</v>
      </c>
      <c r="L19" s="42" t="s">
        <v>209</v>
      </c>
      <c r="M19" s="61">
        <v>45993</v>
      </c>
      <c r="N19" s="41" t="s">
        <v>305</v>
      </c>
      <c r="O19" s="42" t="s">
        <v>209</v>
      </c>
      <c r="P19" s="40">
        <v>45991</v>
      </c>
      <c r="Q19" s="41" t="s">
        <v>305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52.8" spans="1:29">
      <c r="A20" s="30" t="s">
        <v>142</v>
      </c>
      <c r="B20" s="30" t="s">
        <v>1695</v>
      </c>
      <c r="C20" s="30" t="s">
        <v>1696</v>
      </c>
      <c r="D20" s="31" t="s">
        <v>1697</v>
      </c>
      <c r="E20" s="31" t="s">
        <v>1698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305</v>
      </c>
      <c r="L20" s="42" t="s">
        <v>209</v>
      </c>
      <c r="M20" s="61">
        <v>45993</v>
      </c>
      <c r="N20" s="41" t="s">
        <v>305</v>
      </c>
      <c r="O20" s="42" t="s">
        <v>209</v>
      </c>
      <c r="P20" s="40">
        <v>45991</v>
      </c>
      <c r="Q20" s="41" t="s">
        <v>305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39.6" spans="1:29">
      <c r="A21" s="30" t="s">
        <v>142</v>
      </c>
      <c r="B21" s="30" t="s">
        <v>1699</v>
      </c>
      <c r="C21" s="30" t="s">
        <v>1700</v>
      </c>
      <c r="D21" s="31" t="s">
        <v>1701</v>
      </c>
      <c r="E21" s="31" t="s">
        <v>1702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305</v>
      </c>
      <c r="L21" s="42" t="s">
        <v>209</v>
      </c>
      <c r="M21" s="61">
        <v>45993</v>
      </c>
      <c r="N21" s="41" t="s">
        <v>305</v>
      </c>
      <c r="O21" s="42" t="s">
        <v>209</v>
      </c>
      <c r="P21" s="40">
        <v>45991</v>
      </c>
      <c r="Q21" s="41" t="s">
        <v>305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39.6" spans="1:29">
      <c r="A22" s="30" t="s">
        <v>142</v>
      </c>
      <c r="B22" s="30" t="s">
        <v>1703</v>
      </c>
      <c r="C22" s="30" t="s">
        <v>1704</v>
      </c>
      <c r="D22" s="31" t="s">
        <v>1705</v>
      </c>
      <c r="E22" s="31" t="s">
        <v>1706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305</v>
      </c>
      <c r="L22" s="42" t="s">
        <v>209</v>
      </c>
      <c r="M22" s="61">
        <v>45993</v>
      </c>
      <c r="N22" s="41" t="s">
        <v>305</v>
      </c>
      <c r="O22" s="42" t="s">
        <v>209</v>
      </c>
      <c r="P22" s="40">
        <v>45991</v>
      </c>
      <c r="Q22" s="41" t="s">
        <v>305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39.6" spans="1:29">
      <c r="A23" s="30" t="s">
        <v>142</v>
      </c>
      <c r="B23" s="30" t="s">
        <v>1707</v>
      </c>
      <c r="C23" s="30" t="s">
        <v>1708</v>
      </c>
      <c r="D23" s="31" t="s">
        <v>1709</v>
      </c>
      <c r="E23" s="31" t="s">
        <v>1710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305</v>
      </c>
      <c r="L23" s="42" t="s">
        <v>209</v>
      </c>
      <c r="M23" s="61">
        <v>45993</v>
      </c>
      <c r="N23" s="41" t="s">
        <v>305</v>
      </c>
      <c r="O23" s="42" t="s">
        <v>209</v>
      </c>
      <c r="P23" s="40">
        <v>45991</v>
      </c>
      <c r="Q23" s="41" t="s">
        <v>305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39.6" outlineLevel="1" spans="1:29">
      <c r="A24" s="30" t="s">
        <v>142</v>
      </c>
      <c r="B24" s="30" t="s">
        <v>1711</v>
      </c>
      <c r="C24" s="30" t="s">
        <v>1712</v>
      </c>
      <c r="D24" s="31" t="s">
        <v>1713</v>
      </c>
      <c r="E24" s="31" t="s">
        <v>1714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305</v>
      </c>
      <c r="L24" s="42" t="s">
        <v>209</v>
      </c>
      <c r="M24" s="61">
        <v>45993</v>
      </c>
      <c r="N24" s="41" t="s">
        <v>305</v>
      </c>
      <c r="O24" s="42" t="s">
        <v>209</v>
      </c>
      <c r="P24" s="40">
        <v>45991</v>
      </c>
      <c r="Q24" s="41" t="s">
        <v>305</v>
      </c>
      <c r="R24" s="30"/>
      <c r="S24" s="52"/>
      <c r="T24" s="53"/>
      <c r="U24" s="52"/>
      <c r="V24" s="52"/>
      <c r="W24" s="52"/>
      <c r="X24" s="52"/>
      <c r="Y24" s="52"/>
      <c r="Z24" s="52"/>
      <c r="AA24" s="52"/>
      <c r="AB24" s="52"/>
      <c r="AC24" s="52"/>
    </row>
    <row r="25" ht="39.6" outlineLevel="1" spans="1:29">
      <c r="A25" s="30" t="s">
        <v>142</v>
      </c>
      <c r="B25" s="30" t="s">
        <v>1715</v>
      </c>
      <c r="C25" s="30" t="s">
        <v>1716</v>
      </c>
      <c r="D25" s="31" t="s">
        <v>1717</v>
      </c>
      <c r="E25" s="31" t="s">
        <v>1718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305</v>
      </c>
      <c r="L25" s="42" t="s">
        <v>209</v>
      </c>
      <c r="M25" s="61">
        <v>45993</v>
      </c>
      <c r="N25" s="41" t="s">
        <v>305</v>
      </c>
      <c r="O25" s="42" t="s">
        <v>209</v>
      </c>
      <c r="P25" s="40">
        <v>45991</v>
      </c>
      <c r="Q25" s="41" t="s">
        <v>305</v>
      </c>
      <c r="R25" s="30"/>
      <c r="S25" s="43"/>
      <c r="T25" s="53"/>
      <c r="U25" s="43"/>
      <c r="V25" s="43"/>
      <c r="W25" s="43"/>
      <c r="X25" s="43"/>
      <c r="Y25" s="43"/>
      <c r="Z25" s="43"/>
      <c r="AA25" s="43"/>
      <c r="AB25" s="43"/>
      <c r="AC25" s="43"/>
    </row>
    <row r="26" ht="52.8" outlineLevel="1" spans="1:29">
      <c r="A26" s="30" t="s">
        <v>142</v>
      </c>
      <c r="B26" s="30" t="s">
        <v>1719</v>
      </c>
      <c r="C26" s="30" t="s">
        <v>1720</v>
      </c>
      <c r="D26" s="31" t="s">
        <v>1721</v>
      </c>
      <c r="E26" s="31" t="s">
        <v>1722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305</v>
      </c>
      <c r="L26" s="42" t="s">
        <v>209</v>
      </c>
      <c r="M26" s="61">
        <v>45993</v>
      </c>
      <c r="N26" s="41" t="s">
        <v>305</v>
      </c>
      <c r="O26" s="42" t="s">
        <v>209</v>
      </c>
      <c r="P26" s="40">
        <v>45991</v>
      </c>
      <c r="Q26" s="41" t="s">
        <v>305</v>
      </c>
      <c r="R26" s="30"/>
      <c r="S26" s="43"/>
      <c r="T26" s="53"/>
      <c r="U26" s="43"/>
      <c r="V26" s="43"/>
      <c r="W26" s="43"/>
      <c r="X26" s="43"/>
      <c r="Y26" s="43"/>
      <c r="Z26" s="43"/>
      <c r="AA26" s="43"/>
      <c r="AB26" s="43"/>
      <c r="AC26" s="43"/>
    </row>
    <row r="27" ht="79.2" outlineLevel="1" spans="1:29">
      <c r="A27" s="30" t="s">
        <v>142</v>
      </c>
      <c r="B27" s="30" t="s">
        <v>1723</v>
      </c>
      <c r="C27" s="30" t="s">
        <v>1724</v>
      </c>
      <c r="D27" s="31" t="s">
        <v>1725</v>
      </c>
      <c r="E27" s="31" t="s">
        <v>1726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305</v>
      </c>
      <c r="L27" s="42" t="s">
        <v>209</v>
      </c>
      <c r="M27" s="61">
        <v>45993</v>
      </c>
      <c r="N27" s="41" t="s">
        <v>305</v>
      </c>
      <c r="O27" s="42" t="s">
        <v>209</v>
      </c>
      <c r="P27" s="40">
        <v>45991</v>
      </c>
      <c r="Q27" s="41" t="s">
        <v>305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39.6" outlineLevel="1" spans="1:29">
      <c r="A28" s="30" t="s">
        <v>142</v>
      </c>
      <c r="B28" s="30" t="s">
        <v>1727</v>
      </c>
      <c r="C28" s="30" t="s">
        <v>1728</v>
      </c>
      <c r="D28" s="31" t="s">
        <v>1729</v>
      </c>
      <c r="E28" s="31" t="s">
        <v>1730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305</v>
      </c>
      <c r="L28" s="42" t="s">
        <v>209</v>
      </c>
      <c r="M28" s="61">
        <v>45993</v>
      </c>
      <c r="N28" s="41" t="s">
        <v>305</v>
      </c>
      <c r="O28" s="42" t="s">
        <v>209</v>
      </c>
      <c r="P28" s="40">
        <v>45991</v>
      </c>
      <c r="Q28" s="41" t="s">
        <v>305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79.2" outlineLevel="1" spans="1:29">
      <c r="A29" s="30" t="s">
        <v>143</v>
      </c>
      <c r="B29" s="30" t="s">
        <v>1731</v>
      </c>
      <c r="C29" s="30" t="s">
        <v>1732</v>
      </c>
      <c r="D29" s="31" t="s">
        <v>1587</v>
      </c>
      <c r="E29" s="31" t="s">
        <v>1733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305</v>
      </c>
      <c r="L29" s="42" t="s">
        <v>209</v>
      </c>
      <c r="M29" s="61">
        <v>45993</v>
      </c>
      <c r="N29" s="41" t="s">
        <v>305</v>
      </c>
      <c r="O29" s="42" t="s">
        <v>209</v>
      </c>
      <c r="P29" s="40">
        <v>45991</v>
      </c>
      <c r="Q29" s="41" t="s">
        <v>305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13.8" outlineLevel="1" spans="1:29">
      <c r="A30" s="30" t="s">
        <v>143</v>
      </c>
      <c r="B30" s="30" t="s">
        <v>1734</v>
      </c>
      <c r="C30" s="30" t="s">
        <v>1735</v>
      </c>
      <c r="D30" s="31" t="s">
        <v>1591</v>
      </c>
      <c r="E30" s="31" t="s">
        <v>1592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305</v>
      </c>
      <c r="L30" s="42" t="s">
        <v>209</v>
      </c>
      <c r="M30" s="61">
        <v>45993</v>
      </c>
      <c r="N30" s="41" t="s">
        <v>305</v>
      </c>
      <c r="O30" s="42" t="s">
        <v>209</v>
      </c>
      <c r="P30" s="40">
        <v>45991</v>
      </c>
      <c r="Q30" s="41" t="s">
        <v>305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13.8" outlineLevel="1" spans="1:29">
      <c r="A31" s="30" t="s">
        <v>143</v>
      </c>
      <c r="B31" s="30" t="s">
        <v>1736</v>
      </c>
      <c r="C31" s="30" t="s">
        <v>1737</v>
      </c>
      <c r="D31" s="31" t="s">
        <v>1595</v>
      </c>
      <c r="E31" s="31" t="s">
        <v>1596</v>
      </c>
      <c r="F31" s="30" t="s">
        <v>237</v>
      </c>
      <c r="G31" s="32" t="s">
        <v>209</v>
      </c>
      <c r="H31" s="33"/>
      <c r="I31" s="33"/>
      <c r="J31" s="40">
        <v>45991</v>
      </c>
      <c r="K31" s="41" t="s">
        <v>305</v>
      </c>
      <c r="L31" s="42" t="s">
        <v>209</v>
      </c>
      <c r="M31" s="61">
        <v>45993</v>
      </c>
      <c r="N31" s="41" t="s">
        <v>305</v>
      </c>
      <c r="O31" s="42" t="s">
        <v>209</v>
      </c>
      <c r="P31" s="40">
        <v>45991</v>
      </c>
      <c r="Q31" s="41" t="s">
        <v>305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13.8" outlineLevel="1" spans="1:29">
      <c r="A32" s="30" t="s">
        <v>143</v>
      </c>
      <c r="B32" s="30" t="s">
        <v>1738</v>
      </c>
      <c r="C32" s="30" t="s">
        <v>1739</v>
      </c>
      <c r="D32" s="31" t="s">
        <v>1609</v>
      </c>
      <c r="E32" s="31" t="s">
        <v>1596</v>
      </c>
      <c r="F32" s="30" t="s">
        <v>237</v>
      </c>
      <c r="G32" s="32" t="s">
        <v>209</v>
      </c>
      <c r="H32" s="33"/>
      <c r="I32" s="33"/>
      <c r="J32" s="40">
        <v>45991</v>
      </c>
      <c r="K32" s="41" t="s">
        <v>305</v>
      </c>
      <c r="L32" s="42" t="s">
        <v>209</v>
      </c>
      <c r="M32" s="61">
        <v>45993</v>
      </c>
      <c r="N32" s="41" t="s">
        <v>305</v>
      </c>
      <c r="O32" s="42" t="s">
        <v>209</v>
      </c>
      <c r="P32" s="40">
        <v>45991</v>
      </c>
      <c r="Q32" s="41" t="s">
        <v>305</v>
      </c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3.8" outlineLevel="1" spans="1:29">
      <c r="A33" s="30" t="s">
        <v>143</v>
      </c>
      <c r="B33" s="30" t="s">
        <v>1740</v>
      </c>
      <c r="C33" s="30" t="s">
        <v>1741</v>
      </c>
      <c r="D33" s="31" t="s">
        <v>1742</v>
      </c>
      <c r="E33" s="31" t="s">
        <v>1592</v>
      </c>
      <c r="F33" s="30" t="s">
        <v>237</v>
      </c>
      <c r="G33" s="32" t="s">
        <v>209</v>
      </c>
      <c r="H33" s="33"/>
      <c r="I33" s="33"/>
      <c r="J33" s="40">
        <v>45991</v>
      </c>
      <c r="K33" s="41" t="s">
        <v>305</v>
      </c>
      <c r="L33" s="42" t="s">
        <v>209</v>
      </c>
      <c r="M33" s="61">
        <v>45993</v>
      </c>
      <c r="N33" s="41" t="s">
        <v>305</v>
      </c>
      <c r="O33" s="42" t="s">
        <v>209</v>
      </c>
      <c r="P33" s="40">
        <v>45991</v>
      </c>
      <c r="Q33" s="41" t="s">
        <v>305</v>
      </c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52.8" outlineLevel="1" spans="1:29">
      <c r="A34" s="30" t="s">
        <v>144</v>
      </c>
      <c r="B34" s="30" t="s">
        <v>1743</v>
      </c>
      <c r="C34" s="30" t="s">
        <v>1744</v>
      </c>
      <c r="D34" s="31" t="s">
        <v>1745</v>
      </c>
      <c r="E34" s="31" t="s">
        <v>1746</v>
      </c>
      <c r="F34" s="30" t="s">
        <v>237</v>
      </c>
      <c r="G34" s="32" t="s">
        <v>209</v>
      </c>
      <c r="H34" s="33"/>
      <c r="I34" s="33"/>
      <c r="J34" s="40">
        <v>45991</v>
      </c>
      <c r="K34" s="41" t="s">
        <v>305</v>
      </c>
      <c r="L34" s="42" t="s">
        <v>209</v>
      </c>
      <c r="M34" s="61">
        <v>45993</v>
      </c>
      <c r="N34" s="41" t="s">
        <v>305</v>
      </c>
      <c r="O34" s="42" t="s">
        <v>209</v>
      </c>
      <c r="P34" s="40">
        <v>45995</v>
      </c>
      <c r="Q34" s="41" t="s">
        <v>305</v>
      </c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39.6" outlineLevel="1" spans="1:29">
      <c r="A35" s="30" t="s">
        <v>144</v>
      </c>
      <c r="B35" s="30" t="s">
        <v>1747</v>
      </c>
      <c r="C35" s="30" t="s">
        <v>1748</v>
      </c>
      <c r="D35" s="31" t="s">
        <v>1749</v>
      </c>
      <c r="E35" s="31" t="s">
        <v>1750</v>
      </c>
      <c r="F35" s="30" t="s">
        <v>237</v>
      </c>
      <c r="G35" s="32" t="s">
        <v>209</v>
      </c>
      <c r="H35" s="33"/>
      <c r="I35" s="33"/>
      <c r="J35" s="40">
        <v>45991</v>
      </c>
      <c r="K35" s="41" t="s">
        <v>305</v>
      </c>
      <c r="L35" s="42" t="s">
        <v>209</v>
      </c>
      <c r="M35" s="61">
        <v>45993</v>
      </c>
      <c r="N35" s="41" t="s">
        <v>305</v>
      </c>
      <c r="O35" s="42" t="s">
        <v>209</v>
      </c>
      <c r="P35" s="40">
        <v>45995</v>
      </c>
      <c r="Q35" s="41" t="s">
        <v>305</v>
      </c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39.6" outlineLevel="1" spans="1:29">
      <c r="A36" s="30" t="s">
        <v>144</v>
      </c>
      <c r="B36" s="30" t="s">
        <v>1751</v>
      </c>
      <c r="C36" s="30" t="s">
        <v>1752</v>
      </c>
      <c r="D36" s="31" t="s">
        <v>1753</v>
      </c>
      <c r="E36" s="31" t="s">
        <v>1592</v>
      </c>
      <c r="F36" s="30" t="s">
        <v>237</v>
      </c>
      <c r="G36" s="32" t="s">
        <v>209</v>
      </c>
      <c r="H36" s="33"/>
      <c r="I36" s="33"/>
      <c r="J36" s="40">
        <v>45991</v>
      </c>
      <c r="K36" s="41" t="s">
        <v>305</v>
      </c>
      <c r="L36" s="42" t="s">
        <v>209</v>
      </c>
      <c r="M36" s="61">
        <v>45993</v>
      </c>
      <c r="N36" s="41" t="s">
        <v>305</v>
      </c>
      <c r="O36" s="42" t="s">
        <v>209</v>
      </c>
      <c r="P36" s="40">
        <v>45995</v>
      </c>
      <c r="Q36" s="41" t="s">
        <v>305</v>
      </c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39.6" outlineLevel="1" spans="1:29">
      <c r="A37" s="30" t="s">
        <v>144</v>
      </c>
      <c r="B37" s="30" t="s">
        <v>1754</v>
      </c>
      <c r="C37" s="30" t="s">
        <v>1755</v>
      </c>
      <c r="D37" s="31" t="s">
        <v>1756</v>
      </c>
      <c r="E37" s="31" t="s">
        <v>1757</v>
      </c>
      <c r="F37" s="30" t="s">
        <v>237</v>
      </c>
      <c r="G37" s="32" t="s">
        <v>209</v>
      </c>
      <c r="H37" s="33"/>
      <c r="I37" s="33"/>
      <c r="J37" s="40">
        <v>45991</v>
      </c>
      <c r="K37" s="41" t="s">
        <v>305</v>
      </c>
      <c r="L37" s="42" t="s">
        <v>209</v>
      </c>
      <c r="M37" s="61">
        <v>45993</v>
      </c>
      <c r="N37" s="41" t="s">
        <v>305</v>
      </c>
      <c r="O37" s="42" t="s">
        <v>209</v>
      </c>
      <c r="P37" s="40">
        <v>45995</v>
      </c>
      <c r="Q37" s="41" t="s">
        <v>305</v>
      </c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39.6" outlineLevel="1" spans="1:29">
      <c r="A38" s="30" t="s">
        <v>144</v>
      </c>
      <c r="B38" s="30" t="s">
        <v>1758</v>
      </c>
      <c r="C38" s="30" t="s">
        <v>1759</v>
      </c>
      <c r="D38" s="31" t="s">
        <v>1760</v>
      </c>
      <c r="E38" s="31" t="s">
        <v>1710</v>
      </c>
      <c r="F38" s="30" t="s">
        <v>237</v>
      </c>
      <c r="G38" s="32" t="s">
        <v>209</v>
      </c>
      <c r="H38" s="33"/>
      <c r="I38" s="33"/>
      <c r="J38" s="40">
        <v>45991</v>
      </c>
      <c r="K38" s="41" t="s">
        <v>305</v>
      </c>
      <c r="L38" s="42" t="s">
        <v>209</v>
      </c>
      <c r="M38" s="61">
        <v>45993</v>
      </c>
      <c r="N38" s="41" t="s">
        <v>305</v>
      </c>
      <c r="O38" s="42" t="s">
        <v>209</v>
      </c>
      <c r="P38" s="40">
        <v>45995</v>
      </c>
      <c r="Q38" s="41" t="s">
        <v>305</v>
      </c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39.6" outlineLevel="1" spans="1:29">
      <c r="A39" s="30" t="s">
        <v>144</v>
      </c>
      <c r="B39" s="30" t="s">
        <v>1761</v>
      </c>
      <c r="C39" s="30" t="s">
        <v>1762</v>
      </c>
      <c r="D39" s="31" t="s">
        <v>1763</v>
      </c>
      <c r="E39" s="31" t="s">
        <v>1764</v>
      </c>
      <c r="F39" s="30" t="s">
        <v>237</v>
      </c>
      <c r="G39" s="32" t="s">
        <v>209</v>
      </c>
      <c r="H39" s="33"/>
      <c r="I39" s="33"/>
      <c r="J39" s="40">
        <v>45991</v>
      </c>
      <c r="K39" s="41" t="s">
        <v>305</v>
      </c>
      <c r="L39" s="42" t="s">
        <v>209</v>
      </c>
      <c r="M39" s="61">
        <v>45993</v>
      </c>
      <c r="N39" s="41" t="s">
        <v>305</v>
      </c>
      <c r="O39" s="42" t="s">
        <v>209</v>
      </c>
      <c r="P39" s="40">
        <v>45995</v>
      </c>
      <c r="Q39" s="41" t="s">
        <v>305</v>
      </c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79.2" outlineLevel="1" spans="1:29">
      <c r="A40" s="30" t="s">
        <v>144</v>
      </c>
      <c r="B40" s="30" t="s">
        <v>1765</v>
      </c>
      <c r="C40" s="30" t="s">
        <v>1766</v>
      </c>
      <c r="D40" s="31" t="s">
        <v>1767</v>
      </c>
      <c r="E40" s="31" t="s">
        <v>1726</v>
      </c>
      <c r="F40" s="30" t="s">
        <v>237</v>
      </c>
      <c r="G40" s="32" t="s">
        <v>209</v>
      </c>
      <c r="H40" s="33"/>
      <c r="I40" s="33"/>
      <c r="J40" s="40">
        <v>45991</v>
      </c>
      <c r="K40" s="41" t="s">
        <v>305</v>
      </c>
      <c r="L40" s="42" t="s">
        <v>209</v>
      </c>
      <c r="M40" s="61">
        <v>45993</v>
      </c>
      <c r="N40" s="41" t="s">
        <v>305</v>
      </c>
      <c r="O40" s="42" t="s">
        <v>209</v>
      </c>
      <c r="P40" s="40">
        <v>45995</v>
      </c>
      <c r="Q40" s="41" t="s">
        <v>305</v>
      </c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39.6" spans="1:29">
      <c r="A41" s="30" t="s">
        <v>144</v>
      </c>
      <c r="B41" s="30" t="s">
        <v>1768</v>
      </c>
      <c r="C41" s="30" t="s">
        <v>1769</v>
      </c>
      <c r="D41" s="31" t="s">
        <v>1770</v>
      </c>
      <c r="E41" s="31" t="s">
        <v>1771</v>
      </c>
      <c r="F41" s="30" t="s">
        <v>237</v>
      </c>
      <c r="G41" s="32" t="s">
        <v>209</v>
      </c>
      <c r="H41" s="33"/>
      <c r="I41" s="33"/>
      <c r="J41" s="40">
        <v>45991</v>
      </c>
      <c r="K41" s="41" t="s">
        <v>305</v>
      </c>
      <c r="L41" s="42" t="s">
        <v>209</v>
      </c>
      <c r="M41" s="61">
        <v>45993</v>
      </c>
      <c r="N41" s="41" t="s">
        <v>305</v>
      </c>
      <c r="O41" s="42" t="s">
        <v>209</v>
      </c>
      <c r="P41" s="40">
        <v>45995</v>
      </c>
      <c r="Q41" s="41" t="s">
        <v>305</v>
      </c>
      <c r="R41" s="30"/>
      <c r="S41" s="47"/>
      <c r="T41" s="51"/>
      <c r="U41" s="47"/>
      <c r="V41" s="47"/>
      <c r="W41" s="47"/>
      <c r="X41" s="47"/>
      <c r="Y41" s="47"/>
      <c r="Z41" s="47"/>
      <c r="AA41" s="47"/>
      <c r="AB41" s="47"/>
      <c r="AC41" s="47"/>
    </row>
    <row r="42" ht="26.4" spans="1:29">
      <c r="A42" s="30" t="s">
        <v>145</v>
      </c>
      <c r="B42" s="30" t="s">
        <v>1772</v>
      </c>
      <c r="C42" s="30" t="s">
        <v>1773</v>
      </c>
      <c r="D42" s="31" t="s">
        <v>1774</v>
      </c>
      <c r="E42" s="31" t="s">
        <v>1775</v>
      </c>
      <c r="F42" s="30" t="s">
        <v>237</v>
      </c>
      <c r="G42" s="32" t="s">
        <v>209</v>
      </c>
      <c r="H42" s="33"/>
      <c r="I42" s="33"/>
      <c r="J42" s="40">
        <v>45991</v>
      </c>
      <c r="K42" s="41" t="s">
        <v>305</v>
      </c>
      <c r="L42" s="42" t="s">
        <v>209</v>
      </c>
      <c r="M42" s="61">
        <v>45993</v>
      </c>
      <c r="N42" s="41" t="s">
        <v>305</v>
      </c>
      <c r="O42" s="42" t="s">
        <v>209</v>
      </c>
      <c r="P42" s="40">
        <v>45995</v>
      </c>
      <c r="Q42" s="41" t="s">
        <v>305</v>
      </c>
      <c r="R42" s="30"/>
      <c r="S42" s="54"/>
      <c r="T42" s="55"/>
      <c r="U42" s="54"/>
      <c r="V42" s="54"/>
      <c r="W42" s="54"/>
      <c r="X42" s="54"/>
      <c r="Y42" s="54"/>
      <c r="Z42" s="54"/>
      <c r="AA42" s="54"/>
      <c r="AB42" s="54"/>
      <c r="AC42" s="54"/>
    </row>
    <row r="43" ht="26.4" spans="1:29">
      <c r="A43" s="30" t="s">
        <v>145</v>
      </c>
      <c r="B43" s="30" t="s">
        <v>1776</v>
      </c>
      <c r="C43" s="30" t="s">
        <v>1777</v>
      </c>
      <c r="D43" s="31" t="s">
        <v>1591</v>
      </c>
      <c r="E43" s="31" t="s">
        <v>1778</v>
      </c>
      <c r="F43" s="30" t="s">
        <v>237</v>
      </c>
      <c r="G43" s="32" t="s">
        <v>209</v>
      </c>
      <c r="H43" s="33"/>
      <c r="I43" s="33"/>
      <c r="J43" s="40">
        <v>45991</v>
      </c>
      <c r="K43" s="41" t="s">
        <v>305</v>
      </c>
      <c r="L43" s="42" t="s">
        <v>209</v>
      </c>
      <c r="M43" s="61">
        <v>45993</v>
      </c>
      <c r="N43" s="41" t="s">
        <v>305</v>
      </c>
      <c r="O43" s="42" t="s">
        <v>209</v>
      </c>
      <c r="P43" s="40">
        <v>45995</v>
      </c>
      <c r="Q43" s="41" t="s">
        <v>305</v>
      </c>
      <c r="R43" s="30"/>
      <c r="S43" s="54"/>
      <c r="T43" s="55"/>
      <c r="U43" s="54"/>
      <c r="V43" s="54"/>
      <c r="W43" s="54"/>
      <c r="X43" s="54"/>
      <c r="Y43" s="54"/>
      <c r="Z43" s="54"/>
      <c r="AA43" s="54"/>
      <c r="AB43" s="54"/>
      <c r="AC43" s="54"/>
    </row>
    <row r="44" ht="26.4" outlineLevel="1" spans="1:29">
      <c r="A44" s="30" t="s">
        <v>145</v>
      </c>
      <c r="B44" s="30" t="s">
        <v>1779</v>
      </c>
      <c r="C44" s="30" t="s">
        <v>1780</v>
      </c>
      <c r="D44" s="31" t="s">
        <v>1595</v>
      </c>
      <c r="E44" s="31" t="s">
        <v>1781</v>
      </c>
      <c r="F44" s="30" t="s">
        <v>237</v>
      </c>
      <c r="G44" s="32" t="s">
        <v>209</v>
      </c>
      <c r="H44" s="33"/>
      <c r="I44" s="33"/>
      <c r="J44" s="40">
        <v>45991</v>
      </c>
      <c r="K44" s="41" t="s">
        <v>305</v>
      </c>
      <c r="L44" s="42" t="s">
        <v>209</v>
      </c>
      <c r="M44" s="61">
        <v>45993</v>
      </c>
      <c r="N44" s="41" t="s">
        <v>305</v>
      </c>
      <c r="O44" s="42" t="s">
        <v>209</v>
      </c>
      <c r="P44" s="40">
        <v>45995</v>
      </c>
      <c r="Q44" s="41" t="s">
        <v>305</v>
      </c>
      <c r="R44" s="30"/>
      <c r="S44" s="37"/>
      <c r="T44" s="56"/>
      <c r="U44" s="37"/>
      <c r="V44" s="37"/>
      <c r="W44" s="37"/>
      <c r="X44" s="37"/>
      <c r="Y44" s="37"/>
      <c r="Z44" s="37"/>
      <c r="AA44" s="37"/>
      <c r="AB44" s="37"/>
      <c r="AC44" s="37"/>
    </row>
    <row r="45" ht="26.4" outlineLevel="1" spans="1:29">
      <c r="A45" s="30" t="s">
        <v>145</v>
      </c>
      <c r="B45" s="30" t="s">
        <v>1782</v>
      </c>
      <c r="C45" s="30" t="s">
        <v>1783</v>
      </c>
      <c r="D45" s="31" t="s">
        <v>1609</v>
      </c>
      <c r="E45" s="31" t="s">
        <v>1781</v>
      </c>
      <c r="F45" s="30" t="s">
        <v>237</v>
      </c>
      <c r="G45" s="32" t="s">
        <v>209</v>
      </c>
      <c r="H45" s="33"/>
      <c r="I45" s="33"/>
      <c r="J45" s="40">
        <v>45991</v>
      </c>
      <c r="K45" s="41" t="s">
        <v>305</v>
      </c>
      <c r="L45" s="42" t="s">
        <v>209</v>
      </c>
      <c r="M45" s="61">
        <v>45993</v>
      </c>
      <c r="N45" s="41" t="s">
        <v>305</v>
      </c>
      <c r="O45" s="42" t="s">
        <v>209</v>
      </c>
      <c r="P45" s="40">
        <v>45995</v>
      </c>
      <c r="Q45" s="41" t="s">
        <v>305</v>
      </c>
      <c r="R45" s="30"/>
      <c r="S45" s="37"/>
      <c r="T45" s="56"/>
      <c r="U45" s="37"/>
      <c r="V45" s="37"/>
      <c r="W45" s="37"/>
      <c r="X45" s="37"/>
      <c r="Y45" s="37"/>
      <c r="Z45" s="37"/>
      <c r="AA45" s="37"/>
      <c r="AB45" s="37"/>
      <c r="AC45" s="37"/>
    </row>
    <row r="46" ht="64.5" customHeight="1" outlineLevel="1" spans="1:29">
      <c r="A46" s="30" t="s">
        <v>145</v>
      </c>
      <c r="B46" s="30" t="s">
        <v>1784</v>
      </c>
      <c r="C46" s="30" t="s">
        <v>1785</v>
      </c>
      <c r="D46" s="31" t="s">
        <v>1742</v>
      </c>
      <c r="E46" s="31" t="s">
        <v>1786</v>
      </c>
      <c r="F46" s="30" t="s">
        <v>237</v>
      </c>
      <c r="G46" s="32" t="s">
        <v>209</v>
      </c>
      <c r="H46" s="33"/>
      <c r="I46" s="33"/>
      <c r="J46" s="40">
        <v>45991</v>
      </c>
      <c r="K46" s="41" t="s">
        <v>305</v>
      </c>
      <c r="L46" s="42" t="s">
        <v>209</v>
      </c>
      <c r="M46" s="61">
        <v>45993</v>
      </c>
      <c r="N46" s="41" t="s">
        <v>305</v>
      </c>
      <c r="O46" s="42" t="s">
        <v>209</v>
      </c>
      <c r="P46" s="40">
        <v>45995</v>
      </c>
      <c r="Q46" s="41" t="s">
        <v>305</v>
      </c>
      <c r="R46" s="30"/>
      <c r="S46" s="37"/>
      <c r="T46" s="57"/>
      <c r="U46" s="37"/>
      <c r="V46" s="37"/>
      <c r="W46" s="37"/>
      <c r="X46" s="37"/>
      <c r="Y46" s="37"/>
      <c r="Z46" s="37"/>
      <c r="AA46" s="37"/>
      <c r="AB46" s="37"/>
      <c r="AC46" s="37"/>
    </row>
    <row r="47" ht="64.5" customHeight="1" spans="1:29">
      <c r="A47" s="30" t="s">
        <v>145</v>
      </c>
      <c r="B47" s="30" t="s">
        <v>1787</v>
      </c>
      <c r="C47" s="30" t="s">
        <v>1788</v>
      </c>
      <c r="D47" s="31" t="s">
        <v>1587</v>
      </c>
      <c r="E47" s="31" t="s">
        <v>1789</v>
      </c>
      <c r="F47" s="30" t="s">
        <v>237</v>
      </c>
      <c r="G47" s="32" t="s">
        <v>209</v>
      </c>
      <c r="H47" s="33"/>
      <c r="I47" s="33"/>
      <c r="J47" s="40">
        <v>45991</v>
      </c>
      <c r="K47" s="41" t="s">
        <v>305</v>
      </c>
      <c r="L47" s="42" t="s">
        <v>209</v>
      </c>
      <c r="M47" s="61">
        <v>45993</v>
      </c>
      <c r="N47" s="41" t="s">
        <v>305</v>
      </c>
      <c r="O47" s="42" t="s">
        <v>209</v>
      </c>
      <c r="P47" s="40">
        <v>45995</v>
      </c>
      <c r="Q47" s="41" t="s">
        <v>305</v>
      </c>
      <c r="R47" s="30"/>
      <c r="S47" s="54"/>
      <c r="T47" s="55"/>
      <c r="U47" s="54"/>
      <c r="V47" s="54"/>
      <c r="W47" s="54"/>
      <c r="X47" s="54"/>
      <c r="Y47" s="54"/>
      <c r="Z47" s="54"/>
      <c r="AA47" s="54"/>
      <c r="AB47" s="54"/>
      <c r="AC47" s="54"/>
    </row>
    <row r="48" ht="64.5" customHeight="1" outlineLevel="1" spans="1:29">
      <c r="A48" s="30" t="s">
        <v>146</v>
      </c>
      <c r="B48" s="30" t="s">
        <v>1790</v>
      </c>
      <c r="C48" s="30" t="s">
        <v>1791</v>
      </c>
      <c r="D48" s="31" t="s">
        <v>1774</v>
      </c>
      <c r="E48" s="31" t="s">
        <v>1792</v>
      </c>
      <c r="F48" s="30" t="s">
        <v>237</v>
      </c>
      <c r="G48" s="32" t="s">
        <v>209</v>
      </c>
      <c r="H48" s="33"/>
      <c r="I48" s="33"/>
      <c r="J48" s="40">
        <v>45991</v>
      </c>
      <c r="K48" s="41" t="s">
        <v>305</v>
      </c>
      <c r="L48" s="42" t="s">
        <v>209</v>
      </c>
      <c r="M48" s="61">
        <v>45993</v>
      </c>
      <c r="N48" s="41" t="s">
        <v>305</v>
      </c>
      <c r="O48" s="42" t="s">
        <v>209</v>
      </c>
      <c r="P48" s="40">
        <v>45995</v>
      </c>
      <c r="Q48" s="41" t="s">
        <v>305</v>
      </c>
      <c r="R48" s="30"/>
      <c r="S48" s="37"/>
      <c r="T48" s="56"/>
      <c r="U48" s="37"/>
      <c r="V48" s="37"/>
      <c r="W48" s="37"/>
      <c r="X48" s="37"/>
      <c r="Y48" s="37"/>
      <c r="Z48" s="37"/>
      <c r="AA48" s="37"/>
      <c r="AB48" s="37"/>
      <c r="AC48" s="37"/>
    </row>
    <row r="49" ht="64.5" customHeight="1" spans="1:29">
      <c r="A49" s="30" t="s">
        <v>146</v>
      </c>
      <c r="B49" s="30" t="s">
        <v>1793</v>
      </c>
      <c r="C49" s="30" t="s">
        <v>1794</v>
      </c>
      <c r="D49" s="31" t="s">
        <v>1591</v>
      </c>
      <c r="E49" s="31" t="s">
        <v>1592</v>
      </c>
      <c r="F49" s="30" t="s">
        <v>237</v>
      </c>
      <c r="G49" s="32" t="s">
        <v>209</v>
      </c>
      <c r="H49" s="33"/>
      <c r="I49" s="33"/>
      <c r="J49" s="40">
        <v>45991</v>
      </c>
      <c r="K49" s="41" t="s">
        <v>305</v>
      </c>
      <c r="L49" s="42" t="s">
        <v>209</v>
      </c>
      <c r="M49" s="61">
        <v>45993</v>
      </c>
      <c r="N49" s="41" t="s">
        <v>305</v>
      </c>
      <c r="O49" s="42" t="s">
        <v>209</v>
      </c>
      <c r="P49" s="40">
        <v>45995</v>
      </c>
      <c r="Q49" s="41" t="s">
        <v>305</v>
      </c>
      <c r="R49" s="30"/>
      <c r="S49" s="37"/>
      <c r="T49" s="57"/>
      <c r="U49" s="37"/>
      <c r="V49" s="37"/>
      <c r="W49" s="37"/>
      <c r="X49" s="37"/>
      <c r="Y49" s="37"/>
      <c r="Z49" s="37"/>
      <c r="AA49" s="37"/>
      <c r="AB49" s="37"/>
      <c r="AC49" s="37"/>
    </row>
    <row r="50" ht="30" customHeight="1" spans="1:29">
      <c r="A50" s="30" t="s">
        <v>146</v>
      </c>
      <c r="B50" s="30" t="s">
        <v>1795</v>
      </c>
      <c r="C50" s="30" t="s">
        <v>1796</v>
      </c>
      <c r="D50" s="31" t="s">
        <v>1595</v>
      </c>
      <c r="E50" s="31" t="s">
        <v>1596</v>
      </c>
      <c r="F50" s="30" t="s">
        <v>237</v>
      </c>
      <c r="G50" s="32" t="s">
        <v>209</v>
      </c>
      <c r="H50" s="33"/>
      <c r="I50" s="33"/>
      <c r="J50" s="40">
        <v>45991</v>
      </c>
      <c r="K50" s="41" t="s">
        <v>305</v>
      </c>
      <c r="L50" s="42" t="s">
        <v>209</v>
      </c>
      <c r="M50" s="61">
        <v>45993</v>
      </c>
      <c r="N50" s="41" t="s">
        <v>305</v>
      </c>
      <c r="O50" s="42" t="s">
        <v>209</v>
      </c>
      <c r="P50" s="40">
        <v>45995</v>
      </c>
      <c r="Q50" s="41" t="s">
        <v>305</v>
      </c>
      <c r="R50" s="30"/>
      <c r="S50" s="43"/>
      <c r="T50" s="44"/>
      <c r="U50" s="43"/>
      <c r="V50" s="43"/>
      <c r="W50" s="43"/>
      <c r="X50" s="43"/>
      <c r="Y50" s="43"/>
      <c r="Z50" s="43"/>
      <c r="AA50" s="43"/>
      <c r="AB50" s="43"/>
      <c r="AC50" s="43"/>
    </row>
    <row r="51" ht="19.5" customHeight="1" spans="1:29">
      <c r="A51" s="30" t="s">
        <v>146</v>
      </c>
      <c r="B51" s="30" t="s">
        <v>1797</v>
      </c>
      <c r="C51" s="30" t="s">
        <v>1798</v>
      </c>
      <c r="D51" s="31" t="s">
        <v>1587</v>
      </c>
      <c r="E51" s="31" t="s">
        <v>1792</v>
      </c>
      <c r="F51" s="30" t="s">
        <v>237</v>
      </c>
      <c r="G51" s="32" t="s">
        <v>209</v>
      </c>
      <c r="H51" s="33"/>
      <c r="I51" s="33"/>
      <c r="J51" s="40">
        <v>45991</v>
      </c>
      <c r="K51" s="41" t="s">
        <v>305</v>
      </c>
      <c r="L51" s="42" t="s">
        <v>209</v>
      </c>
      <c r="M51" s="61">
        <v>45993</v>
      </c>
      <c r="N51" s="41" t="s">
        <v>305</v>
      </c>
      <c r="O51" s="42" t="s">
        <v>209</v>
      </c>
      <c r="P51" s="40">
        <v>45995</v>
      </c>
      <c r="Q51" s="41" t="s">
        <v>305</v>
      </c>
      <c r="R51" s="30"/>
      <c r="S51" s="43"/>
      <c r="T51" s="44"/>
      <c r="U51" s="43"/>
      <c r="V51" s="43"/>
      <c r="W51" s="43"/>
      <c r="X51" s="43"/>
      <c r="Y51" s="43"/>
      <c r="Z51" s="43"/>
      <c r="AA51" s="43"/>
      <c r="AB51" s="43"/>
      <c r="AC51" s="43"/>
    </row>
    <row r="52" ht="28.5" customHeight="1" spans="1:29">
      <c r="A52" s="30" t="s">
        <v>146</v>
      </c>
      <c r="B52" s="30" t="s">
        <v>1799</v>
      </c>
      <c r="C52" s="30" t="s">
        <v>1800</v>
      </c>
      <c r="D52" s="31" t="s">
        <v>1609</v>
      </c>
      <c r="E52" s="31" t="s">
        <v>1596</v>
      </c>
      <c r="F52" s="30" t="s">
        <v>237</v>
      </c>
      <c r="G52" s="32" t="s">
        <v>209</v>
      </c>
      <c r="H52" s="33"/>
      <c r="I52" s="33"/>
      <c r="J52" s="40">
        <v>45991</v>
      </c>
      <c r="K52" s="41" t="s">
        <v>305</v>
      </c>
      <c r="L52" s="42" t="s">
        <v>209</v>
      </c>
      <c r="M52" s="61">
        <v>45993</v>
      </c>
      <c r="N52" s="41" t="s">
        <v>305</v>
      </c>
      <c r="O52" s="42" t="s">
        <v>209</v>
      </c>
      <c r="P52" s="40">
        <v>45995</v>
      </c>
      <c r="Q52" s="41" t="s">
        <v>305</v>
      </c>
      <c r="R52" s="30"/>
      <c r="S52" s="43"/>
      <c r="T52" s="44"/>
      <c r="U52" s="43"/>
      <c r="V52" s="43"/>
      <c r="W52" s="43"/>
      <c r="X52" s="43"/>
      <c r="Y52" s="43"/>
      <c r="Z52" s="43"/>
      <c r="AA52" s="43"/>
      <c r="AB52" s="43"/>
      <c r="AC52" s="43"/>
    </row>
    <row r="53" ht="24.75" customHeight="1" spans="1:29">
      <c r="A53" s="30" t="s">
        <v>146</v>
      </c>
      <c r="B53" s="30" t="s">
        <v>1801</v>
      </c>
      <c r="C53" s="30" t="s">
        <v>1802</v>
      </c>
      <c r="D53" s="31" t="s">
        <v>1742</v>
      </c>
      <c r="E53" s="31" t="s">
        <v>1592</v>
      </c>
      <c r="F53" s="30" t="s">
        <v>237</v>
      </c>
      <c r="G53" s="32" t="s">
        <v>209</v>
      </c>
      <c r="H53" s="33"/>
      <c r="I53" s="33"/>
      <c r="J53" s="40">
        <v>45991</v>
      </c>
      <c r="K53" s="41" t="s">
        <v>305</v>
      </c>
      <c r="L53" s="42" t="s">
        <v>209</v>
      </c>
      <c r="M53" s="61">
        <v>45993</v>
      </c>
      <c r="N53" s="41" t="s">
        <v>305</v>
      </c>
      <c r="O53" s="42" t="s">
        <v>209</v>
      </c>
      <c r="P53" s="40">
        <v>45995</v>
      </c>
      <c r="Q53" s="41" t="s">
        <v>305</v>
      </c>
      <c r="R53" s="30"/>
      <c r="S53" s="43"/>
      <c r="T53" s="44"/>
      <c r="U53" s="43"/>
      <c r="V53" s="43"/>
      <c r="W53" s="43"/>
      <c r="X53" s="43"/>
      <c r="Y53" s="43"/>
      <c r="Z53" s="43"/>
      <c r="AA53" s="43"/>
      <c r="AB53" s="43"/>
      <c r="AC53" s="43"/>
    </row>
    <row r="54" ht="35.25" customHeight="1" spans="1:29">
      <c r="A54" s="30" t="s">
        <v>147</v>
      </c>
      <c r="B54" s="30" t="s">
        <v>1803</v>
      </c>
      <c r="C54" s="30" t="s">
        <v>1804</v>
      </c>
      <c r="D54" s="31" t="s">
        <v>1805</v>
      </c>
      <c r="E54" s="31" t="s">
        <v>1806</v>
      </c>
      <c r="F54" s="30" t="s">
        <v>237</v>
      </c>
      <c r="G54" s="32" t="s">
        <v>209</v>
      </c>
      <c r="H54" s="33"/>
      <c r="I54" s="33"/>
      <c r="J54" s="40">
        <v>45991</v>
      </c>
      <c r="K54" s="41" t="s">
        <v>305</v>
      </c>
      <c r="L54" s="42" t="s">
        <v>209</v>
      </c>
      <c r="M54" s="61">
        <v>45993</v>
      </c>
      <c r="N54" s="41" t="s">
        <v>305</v>
      </c>
      <c r="O54" s="42" t="s">
        <v>209</v>
      </c>
      <c r="P54" s="40">
        <v>45995</v>
      </c>
      <c r="Q54" s="41" t="s">
        <v>305</v>
      </c>
      <c r="R54" s="30"/>
      <c r="S54" s="43"/>
      <c r="T54" s="44"/>
      <c r="U54" s="43"/>
      <c r="V54" s="43"/>
      <c r="W54" s="43"/>
      <c r="X54" s="43"/>
      <c r="Y54" s="43"/>
      <c r="Z54" s="43"/>
      <c r="AA54" s="43"/>
      <c r="AB54" s="43"/>
      <c r="AC54" s="43"/>
    </row>
    <row r="55" ht="33.75" customHeight="1" spans="1:29">
      <c r="A55" s="30" t="s">
        <v>147</v>
      </c>
      <c r="B55" s="30" t="s">
        <v>1807</v>
      </c>
      <c r="C55" s="30" t="s">
        <v>1808</v>
      </c>
      <c r="D55" s="31" t="s">
        <v>1809</v>
      </c>
      <c r="E55" s="31" t="s">
        <v>1810</v>
      </c>
      <c r="F55" s="30" t="s">
        <v>237</v>
      </c>
      <c r="G55" s="32" t="s">
        <v>209</v>
      </c>
      <c r="H55" s="33"/>
      <c r="I55" s="33"/>
      <c r="J55" s="40">
        <v>45991</v>
      </c>
      <c r="K55" s="41" t="s">
        <v>305</v>
      </c>
      <c r="L55" s="42" t="s">
        <v>209</v>
      </c>
      <c r="M55" s="61">
        <v>45993</v>
      </c>
      <c r="N55" s="41" t="s">
        <v>305</v>
      </c>
      <c r="O55" s="42" t="s">
        <v>209</v>
      </c>
      <c r="P55" s="40">
        <v>45995</v>
      </c>
      <c r="Q55" s="41" t="s">
        <v>305</v>
      </c>
      <c r="R55" s="30"/>
      <c r="S55" s="43"/>
      <c r="T55" s="44"/>
      <c r="U55" s="43"/>
      <c r="V55" s="43"/>
      <c r="W55" s="43"/>
      <c r="X55" s="43"/>
      <c r="Y55" s="43"/>
      <c r="Z55" s="43"/>
      <c r="AA55" s="43"/>
      <c r="AB55" s="43"/>
      <c r="AC55" s="43"/>
    </row>
    <row r="56" ht="34.5" customHeight="1" spans="1:29">
      <c r="A56" s="30" t="s">
        <v>147</v>
      </c>
      <c r="B56" s="30" t="s">
        <v>1811</v>
      </c>
      <c r="C56" s="30" t="s">
        <v>1812</v>
      </c>
      <c r="D56" s="31" t="s">
        <v>1813</v>
      </c>
      <c r="E56" s="31" t="s">
        <v>1702</v>
      </c>
      <c r="F56" s="30" t="s">
        <v>237</v>
      </c>
      <c r="G56" s="32" t="s">
        <v>209</v>
      </c>
      <c r="H56" s="33"/>
      <c r="I56" s="33"/>
      <c r="J56" s="40">
        <v>45991</v>
      </c>
      <c r="K56" s="41" t="s">
        <v>305</v>
      </c>
      <c r="L56" s="42" t="s">
        <v>209</v>
      </c>
      <c r="M56" s="61">
        <v>45993</v>
      </c>
      <c r="N56" s="41" t="s">
        <v>305</v>
      </c>
      <c r="O56" s="42" t="s">
        <v>209</v>
      </c>
      <c r="P56" s="40">
        <v>45995</v>
      </c>
      <c r="Q56" s="41" t="s">
        <v>305</v>
      </c>
      <c r="R56" s="30"/>
      <c r="S56" s="43"/>
      <c r="T56" s="44"/>
      <c r="U56" s="43"/>
      <c r="V56" s="43"/>
      <c r="W56" s="43"/>
      <c r="X56" s="43"/>
      <c r="Y56" s="43"/>
      <c r="Z56" s="43"/>
      <c r="AA56" s="43"/>
      <c r="AB56" s="43"/>
      <c r="AC56" s="43"/>
    </row>
    <row r="57" ht="47.25" customHeight="1" spans="1:29">
      <c r="A57" s="30" t="s">
        <v>147</v>
      </c>
      <c r="B57" s="30" t="s">
        <v>1814</v>
      </c>
      <c r="C57" s="30" t="s">
        <v>1815</v>
      </c>
      <c r="D57" s="31" t="s">
        <v>1816</v>
      </c>
      <c r="E57" s="31" t="s">
        <v>1714</v>
      </c>
      <c r="F57" s="30" t="s">
        <v>237</v>
      </c>
      <c r="G57" s="32" t="s">
        <v>209</v>
      </c>
      <c r="H57" s="33"/>
      <c r="I57" s="33"/>
      <c r="J57" s="40">
        <v>45991</v>
      </c>
      <c r="K57" s="41" t="s">
        <v>305</v>
      </c>
      <c r="L57" s="42" t="s">
        <v>209</v>
      </c>
      <c r="M57" s="61">
        <v>45993</v>
      </c>
      <c r="N57" s="41" t="s">
        <v>305</v>
      </c>
      <c r="O57" s="42" t="s">
        <v>209</v>
      </c>
      <c r="P57" s="40">
        <v>45995</v>
      </c>
      <c r="Q57" s="41" t="s">
        <v>305</v>
      </c>
      <c r="R57" s="30"/>
      <c r="S57" s="43"/>
      <c r="T57" s="44"/>
      <c r="U57" s="43"/>
      <c r="V57" s="43"/>
      <c r="W57" s="43"/>
      <c r="X57" s="43"/>
      <c r="Y57" s="43"/>
      <c r="Z57" s="43"/>
      <c r="AA57" s="43"/>
      <c r="AB57" s="43"/>
      <c r="AC57" s="43"/>
    </row>
    <row r="58" ht="25.5" customHeight="1" spans="1:29">
      <c r="A58" s="30" t="s">
        <v>147</v>
      </c>
      <c r="B58" s="30" t="s">
        <v>1817</v>
      </c>
      <c r="C58" s="30" t="s">
        <v>1818</v>
      </c>
      <c r="D58" s="31" t="s">
        <v>1819</v>
      </c>
      <c r="E58" s="31" t="s">
        <v>1820</v>
      </c>
      <c r="F58" s="30" t="s">
        <v>237</v>
      </c>
      <c r="G58" s="32" t="s">
        <v>209</v>
      </c>
      <c r="H58" s="33"/>
      <c r="I58" s="33"/>
      <c r="J58" s="40">
        <v>45991</v>
      </c>
      <c r="K58" s="41" t="s">
        <v>305</v>
      </c>
      <c r="L58" s="42" t="s">
        <v>209</v>
      </c>
      <c r="M58" s="61">
        <v>45993</v>
      </c>
      <c r="N58" s="41" t="s">
        <v>305</v>
      </c>
      <c r="O58" s="42" t="s">
        <v>209</v>
      </c>
      <c r="P58" s="40">
        <v>45995</v>
      </c>
      <c r="Q58" s="41" t="s">
        <v>305</v>
      </c>
      <c r="R58" s="30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21.75" customHeight="1" spans="1:29">
      <c r="A59" s="30" t="s">
        <v>147</v>
      </c>
      <c r="B59" s="30" t="s">
        <v>1821</v>
      </c>
      <c r="C59" s="30" t="s">
        <v>1822</v>
      </c>
      <c r="D59" s="31" t="s">
        <v>1823</v>
      </c>
      <c r="E59" s="31" t="s">
        <v>1757</v>
      </c>
      <c r="F59" s="30" t="s">
        <v>237</v>
      </c>
      <c r="G59" s="32" t="s">
        <v>209</v>
      </c>
      <c r="H59" s="33"/>
      <c r="I59" s="33"/>
      <c r="J59" s="40">
        <v>45991</v>
      </c>
      <c r="K59" s="41" t="s">
        <v>305</v>
      </c>
      <c r="L59" s="42" t="s">
        <v>209</v>
      </c>
      <c r="M59" s="61">
        <v>45993</v>
      </c>
      <c r="N59" s="41" t="s">
        <v>305</v>
      </c>
      <c r="O59" s="42" t="s">
        <v>209</v>
      </c>
      <c r="P59" s="40">
        <v>45995</v>
      </c>
      <c r="Q59" s="41" t="s">
        <v>305</v>
      </c>
      <c r="R59" s="30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21.75" customHeight="1" spans="1:29">
      <c r="A60" s="30" t="s">
        <v>147</v>
      </c>
      <c r="B60" s="30" t="s">
        <v>1824</v>
      </c>
      <c r="C60" s="30" t="s">
        <v>1825</v>
      </c>
      <c r="D60" s="31" t="s">
        <v>1826</v>
      </c>
      <c r="E60" s="31" t="s">
        <v>1827</v>
      </c>
      <c r="F60" s="30" t="s">
        <v>237</v>
      </c>
      <c r="G60" s="32" t="s">
        <v>209</v>
      </c>
      <c r="H60" s="33"/>
      <c r="I60" s="33"/>
      <c r="J60" s="40">
        <v>45991</v>
      </c>
      <c r="K60" s="41" t="s">
        <v>305</v>
      </c>
      <c r="L60" s="42" t="s">
        <v>209</v>
      </c>
      <c r="M60" s="61">
        <v>45993</v>
      </c>
      <c r="N60" s="41" t="s">
        <v>305</v>
      </c>
      <c r="O60" s="42" t="s">
        <v>209</v>
      </c>
      <c r="P60" s="40">
        <v>45995</v>
      </c>
      <c r="Q60" s="41" t="s">
        <v>305</v>
      </c>
      <c r="R60" s="30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32.25" customHeight="1" spans="1:29">
      <c r="A61" s="34" t="s">
        <v>1828</v>
      </c>
      <c r="B61" s="34" t="s">
        <v>1829</v>
      </c>
      <c r="C61" s="35" t="s">
        <v>1830</v>
      </c>
      <c r="D61" s="36" t="s">
        <v>1831</v>
      </c>
      <c r="E61" s="36" t="s">
        <v>1832</v>
      </c>
      <c r="F61" s="30" t="s">
        <v>237</v>
      </c>
      <c r="G61" s="32" t="s">
        <v>209</v>
      </c>
      <c r="H61" s="33"/>
      <c r="I61" s="33"/>
      <c r="J61" s="40">
        <v>45991</v>
      </c>
      <c r="K61" s="41" t="s">
        <v>305</v>
      </c>
      <c r="L61" s="42" t="s">
        <v>209</v>
      </c>
      <c r="M61" s="61">
        <v>45993</v>
      </c>
      <c r="N61" s="41" t="s">
        <v>305</v>
      </c>
      <c r="O61" s="42" t="s">
        <v>209</v>
      </c>
      <c r="P61" s="40">
        <v>45995</v>
      </c>
      <c r="Q61" s="41" t="s">
        <v>305</v>
      </c>
      <c r="R61" s="30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43"/>
      <c r="C222" s="58"/>
      <c r="D222" s="59"/>
      <c r="E222" s="59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43"/>
      <c r="C223" s="58"/>
      <c r="D223" s="59"/>
      <c r="E223" s="59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43"/>
      <c r="C224" s="58"/>
      <c r="D224" s="59"/>
      <c r="E224" s="59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43"/>
      <c r="C225" s="58"/>
      <c r="D225" s="59"/>
      <c r="E225" s="59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43"/>
      <c r="C226" s="58"/>
      <c r="D226" s="59"/>
      <c r="E226" s="59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43"/>
      <c r="C227" s="58"/>
      <c r="D227" s="59"/>
      <c r="E227" s="59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43"/>
      <c r="C228" s="58"/>
      <c r="D228" s="59"/>
      <c r="E228" s="59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43"/>
      <c r="C229" s="58"/>
      <c r="D229" s="59"/>
      <c r="E229" s="59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11:G61 H2:H3 L11:L61 M2:M3 O11:O61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17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133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COUNTA(B11:B957)-COUNTIF($N11:$N957,"Skip")</f>
        <v>24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COUNTIF($G11:$G957,C5)</f>
        <v>24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COUNTIF($L11:$L957,C5)</f>
        <v>24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COUNTIF($O11:$O957,C5)</f>
        <v>24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79.2" spans="1:29">
      <c r="A11" s="30" t="s">
        <v>132</v>
      </c>
      <c r="B11" s="30" t="s">
        <v>1833</v>
      </c>
      <c r="C11" s="30" t="s">
        <v>1834</v>
      </c>
      <c r="D11" s="31" t="s">
        <v>1835</v>
      </c>
      <c r="E11" s="31" t="s">
        <v>1836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305</v>
      </c>
      <c r="L11" s="42" t="s">
        <v>209</v>
      </c>
      <c r="M11" s="40">
        <v>45993</v>
      </c>
      <c r="N11" s="41" t="s">
        <v>305</v>
      </c>
      <c r="O11" s="42" t="s">
        <v>209</v>
      </c>
      <c r="P11" s="40">
        <v>45995</v>
      </c>
      <c r="Q11" s="41" t="s">
        <v>305</v>
      </c>
      <c r="R11" s="3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79.2" spans="1:29">
      <c r="A12" s="30" t="s">
        <v>132</v>
      </c>
      <c r="B12" s="30" t="s">
        <v>1837</v>
      </c>
      <c r="C12" s="30" t="s">
        <v>1838</v>
      </c>
      <c r="D12" s="31" t="s">
        <v>1839</v>
      </c>
      <c r="E12" s="31" t="s">
        <v>1836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305</v>
      </c>
      <c r="L12" s="42" t="s">
        <v>209</v>
      </c>
      <c r="M12" s="40">
        <v>45993</v>
      </c>
      <c r="N12" s="41" t="s">
        <v>305</v>
      </c>
      <c r="O12" s="42" t="s">
        <v>209</v>
      </c>
      <c r="P12" s="40">
        <v>45995</v>
      </c>
      <c r="Q12" s="41" t="s">
        <v>305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79.2" spans="1:29">
      <c r="A13" s="30" t="s">
        <v>132</v>
      </c>
      <c r="B13" s="30" t="s">
        <v>1840</v>
      </c>
      <c r="C13" s="30" t="s">
        <v>1841</v>
      </c>
      <c r="D13" s="31" t="s">
        <v>1842</v>
      </c>
      <c r="E13" s="31" t="s">
        <v>1836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305</v>
      </c>
      <c r="L13" s="42" t="s">
        <v>209</v>
      </c>
      <c r="M13" s="40">
        <v>45993</v>
      </c>
      <c r="N13" s="41" t="s">
        <v>305</v>
      </c>
      <c r="O13" s="42" t="s">
        <v>209</v>
      </c>
      <c r="P13" s="40">
        <v>45995</v>
      </c>
      <c r="Q13" s="41" t="s">
        <v>305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66" spans="1:29">
      <c r="A14" s="30" t="s">
        <v>132</v>
      </c>
      <c r="B14" s="30" t="s">
        <v>1843</v>
      </c>
      <c r="C14" s="30" t="s">
        <v>1844</v>
      </c>
      <c r="D14" s="31" t="s">
        <v>1845</v>
      </c>
      <c r="E14" s="31" t="s">
        <v>1846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305</v>
      </c>
      <c r="L14" s="42" t="s">
        <v>209</v>
      </c>
      <c r="M14" s="40">
        <v>45993</v>
      </c>
      <c r="N14" s="41" t="s">
        <v>305</v>
      </c>
      <c r="O14" s="42" t="s">
        <v>209</v>
      </c>
      <c r="P14" s="40">
        <v>45995</v>
      </c>
      <c r="Q14" s="41" t="s">
        <v>305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79.2" spans="1:29">
      <c r="A15" s="30" t="s">
        <v>132</v>
      </c>
      <c r="B15" s="30" t="s">
        <v>1847</v>
      </c>
      <c r="C15" s="30" t="s">
        <v>1848</v>
      </c>
      <c r="D15" s="31" t="s">
        <v>1849</v>
      </c>
      <c r="E15" s="31" t="s">
        <v>1846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305</v>
      </c>
      <c r="L15" s="42" t="s">
        <v>209</v>
      </c>
      <c r="M15" s="40">
        <v>45993</v>
      </c>
      <c r="N15" s="41" t="s">
        <v>305</v>
      </c>
      <c r="O15" s="42" t="s">
        <v>209</v>
      </c>
      <c r="P15" s="40">
        <v>45995</v>
      </c>
      <c r="Q15" s="41" t="s">
        <v>305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79.2" spans="1:29">
      <c r="A16" s="30" t="s">
        <v>132</v>
      </c>
      <c r="B16" s="30" t="s">
        <v>1850</v>
      </c>
      <c r="C16" s="30" t="s">
        <v>1851</v>
      </c>
      <c r="D16" s="31" t="s">
        <v>1852</v>
      </c>
      <c r="E16" s="31" t="s">
        <v>1853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305</v>
      </c>
      <c r="L16" s="42" t="s">
        <v>209</v>
      </c>
      <c r="M16" s="40">
        <v>45993</v>
      </c>
      <c r="N16" s="41" t="s">
        <v>305</v>
      </c>
      <c r="O16" s="42" t="s">
        <v>209</v>
      </c>
      <c r="P16" s="40">
        <v>45995</v>
      </c>
      <c r="Q16" s="41" t="s">
        <v>305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79.2" spans="1:29">
      <c r="A17" s="30" t="s">
        <v>132</v>
      </c>
      <c r="B17" s="30" t="s">
        <v>1854</v>
      </c>
      <c r="C17" s="30" t="s">
        <v>1855</v>
      </c>
      <c r="D17" s="31" t="s">
        <v>1856</v>
      </c>
      <c r="E17" s="31" t="s">
        <v>1853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305</v>
      </c>
      <c r="L17" s="42" t="s">
        <v>209</v>
      </c>
      <c r="M17" s="40">
        <v>45993</v>
      </c>
      <c r="N17" s="41" t="s">
        <v>305</v>
      </c>
      <c r="O17" s="42" t="s">
        <v>209</v>
      </c>
      <c r="P17" s="40">
        <v>45995</v>
      </c>
      <c r="Q17" s="41" t="s">
        <v>305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79.2" spans="1:29">
      <c r="A18" s="30" t="s">
        <v>132</v>
      </c>
      <c r="B18" s="30" t="s">
        <v>1857</v>
      </c>
      <c r="C18" s="30" t="s">
        <v>1858</v>
      </c>
      <c r="D18" s="31" t="s">
        <v>1859</v>
      </c>
      <c r="E18" s="31" t="s">
        <v>1860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305</v>
      </c>
      <c r="L18" s="42" t="s">
        <v>209</v>
      </c>
      <c r="M18" s="40">
        <v>45993</v>
      </c>
      <c r="N18" s="41" t="s">
        <v>305</v>
      </c>
      <c r="O18" s="42" t="s">
        <v>209</v>
      </c>
      <c r="P18" s="40">
        <v>45995</v>
      </c>
      <c r="Q18" s="41" t="s">
        <v>305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79.2" spans="1:29">
      <c r="A19" s="30" t="s">
        <v>132</v>
      </c>
      <c r="B19" s="30" t="s">
        <v>1861</v>
      </c>
      <c r="C19" s="30" t="s">
        <v>1862</v>
      </c>
      <c r="D19" s="31" t="s">
        <v>1863</v>
      </c>
      <c r="E19" s="31" t="s">
        <v>1836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305</v>
      </c>
      <c r="L19" s="42" t="s">
        <v>209</v>
      </c>
      <c r="M19" s="40">
        <v>45993</v>
      </c>
      <c r="N19" s="41" t="s">
        <v>305</v>
      </c>
      <c r="O19" s="42" t="s">
        <v>209</v>
      </c>
      <c r="P19" s="40">
        <v>45995</v>
      </c>
      <c r="Q19" s="41" t="s">
        <v>305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79.2" spans="1:29">
      <c r="A20" s="30" t="s">
        <v>132</v>
      </c>
      <c r="B20" s="30" t="s">
        <v>1864</v>
      </c>
      <c r="C20" s="30" t="s">
        <v>1865</v>
      </c>
      <c r="D20" s="31" t="s">
        <v>1866</v>
      </c>
      <c r="E20" s="31" t="s">
        <v>1867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305</v>
      </c>
      <c r="L20" s="42" t="s">
        <v>209</v>
      </c>
      <c r="M20" s="40">
        <v>45993</v>
      </c>
      <c r="N20" s="41" t="s">
        <v>305</v>
      </c>
      <c r="O20" s="42" t="s">
        <v>209</v>
      </c>
      <c r="P20" s="40">
        <v>45995</v>
      </c>
      <c r="Q20" s="41" t="s">
        <v>305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79.2" spans="1:29">
      <c r="A21" s="30" t="s">
        <v>132</v>
      </c>
      <c r="B21" s="30" t="s">
        <v>1868</v>
      </c>
      <c r="C21" s="30" t="s">
        <v>1869</v>
      </c>
      <c r="D21" s="31" t="s">
        <v>1870</v>
      </c>
      <c r="E21" s="31" t="s">
        <v>1871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305</v>
      </c>
      <c r="L21" s="42" t="s">
        <v>209</v>
      </c>
      <c r="M21" s="40">
        <v>45993</v>
      </c>
      <c r="N21" s="41" t="s">
        <v>305</v>
      </c>
      <c r="O21" s="42" t="s">
        <v>209</v>
      </c>
      <c r="P21" s="40">
        <v>45995</v>
      </c>
      <c r="Q21" s="41" t="s">
        <v>305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79.2" spans="1:29">
      <c r="A22" s="30" t="s">
        <v>132</v>
      </c>
      <c r="B22" s="30" t="s">
        <v>1872</v>
      </c>
      <c r="C22" s="30" t="s">
        <v>1873</v>
      </c>
      <c r="D22" s="31" t="s">
        <v>1874</v>
      </c>
      <c r="E22" s="31" t="s">
        <v>1836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305</v>
      </c>
      <c r="L22" s="42" t="s">
        <v>209</v>
      </c>
      <c r="M22" s="40">
        <v>45993</v>
      </c>
      <c r="N22" s="41" t="s">
        <v>305</v>
      </c>
      <c r="O22" s="42" t="s">
        <v>209</v>
      </c>
      <c r="P22" s="40">
        <v>45995</v>
      </c>
      <c r="Q22" s="41" t="s">
        <v>305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79.2" outlineLevel="1" spans="1:29">
      <c r="A23" s="30" t="s">
        <v>132</v>
      </c>
      <c r="B23" s="30" t="s">
        <v>1875</v>
      </c>
      <c r="C23" s="30" t="s">
        <v>1876</v>
      </c>
      <c r="D23" s="31" t="s">
        <v>1877</v>
      </c>
      <c r="E23" s="31" t="s">
        <v>1836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305</v>
      </c>
      <c r="L23" s="42" t="s">
        <v>209</v>
      </c>
      <c r="M23" s="40">
        <v>45993</v>
      </c>
      <c r="N23" s="41" t="s">
        <v>305</v>
      </c>
      <c r="O23" s="42" t="s">
        <v>209</v>
      </c>
      <c r="P23" s="40">
        <v>45995</v>
      </c>
      <c r="Q23" s="41" t="s">
        <v>305</v>
      </c>
      <c r="R23" s="30"/>
      <c r="S23" s="52"/>
      <c r="T23" s="53"/>
      <c r="U23" s="52"/>
      <c r="V23" s="52"/>
      <c r="W23" s="52"/>
      <c r="X23" s="52"/>
      <c r="Y23" s="52"/>
      <c r="Z23" s="52"/>
      <c r="AA23" s="52"/>
      <c r="AB23" s="52"/>
      <c r="AC23" s="52"/>
    </row>
    <row r="24" ht="79.2" outlineLevel="1" spans="1:29">
      <c r="A24" s="30" t="s">
        <v>132</v>
      </c>
      <c r="B24" s="30" t="s">
        <v>1878</v>
      </c>
      <c r="C24" s="30" t="s">
        <v>1879</v>
      </c>
      <c r="D24" s="31" t="s">
        <v>1880</v>
      </c>
      <c r="E24" s="31" t="s">
        <v>1836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305</v>
      </c>
      <c r="L24" s="42" t="s">
        <v>209</v>
      </c>
      <c r="M24" s="40">
        <v>45993</v>
      </c>
      <c r="N24" s="41" t="s">
        <v>305</v>
      </c>
      <c r="O24" s="42" t="s">
        <v>209</v>
      </c>
      <c r="P24" s="40">
        <v>45995</v>
      </c>
      <c r="Q24" s="41" t="s">
        <v>305</v>
      </c>
      <c r="R24" s="30"/>
      <c r="S24" s="43"/>
      <c r="T24" s="53"/>
      <c r="U24" s="43"/>
      <c r="V24" s="43"/>
      <c r="W24" s="43"/>
      <c r="X24" s="43"/>
      <c r="Y24" s="43"/>
      <c r="Z24" s="43"/>
      <c r="AA24" s="43"/>
      <c r="AB24" s="43"/>
      <c r="AC24" s="43"/>
    </row>
    <row r="25" ht="145.2" outlineLevel="1" spans="1:29">
      <c r="A25" s="30" t="s">
        <v>1881</v>
      </c>
      <c r="B25" s="30" t="s">
        <v>1882</v>
      </c>
      <c r="C25" s="30" t="s">
        <v>1883</v>
      </c>
      <c r="D25" s="31" t="s">
        <v>1884</v>
      </c>
      <c r="E25" s="31" t="s">
        <v>1885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305</v>
      </c>
      <c r="L25" s="42" t="s">
        <v>209</v>
      </c>
      <c r="M25" s="40">
        <v>45993</v>
      </c>
      <c r="N25" s="41" t="s">
        <v>305</v>
      </c>
      <c r="O25" s="42" t="s">
        <v>209</v>
      </c>
      <c r="P25" s="40">
        <v>45995</v>
      </c>
      <c r="Q25" s="41" t="s">
        <v>305</v>
      </c>
      <c r="R25" s="30"/>
      <c r="S25" s="43"/>
      <c r="T25" s="53"/>
      <c r="U25" s="43"/>
      <c r="V25" s="43"/>
      <c r="W25" s="43"/>
      <c r="X25" s="43"/>
      <c r="Y25" s="43"/>
      <c r="Z25" s="43"/>
      <c r="AA25" s="43"/>
      <c r="AB25" s="43"/>
      <c r="AC25" s="43"/>
    </row>
    <row r="26" ht="66" outlineLevel="1" spans="1:29">
      <c r="A26" s="30" t="s">
        <v>1881</v>
      </c>
      <c r="B26" s="30" t="s">
        <v>1886</v>
      </c>
      <c r="C26" s="30" t="s">
        <v>1887</v>
      </c>
      <c r="D26" s="31" t="s">
        <v>1888</v>
      </c>
      <c r="E26" s="31" t="s">
        <v>1889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305</v>
      </c>
      <c r="L26" s="42" t="s">
        <v>209</v>
      </c>
      <c r="M26" s="40">
        <v>45993</v>
      </c>
      <c r="N26" s="41" t="s">
        <v>305</v>
      </c>
      <c r="O26" s="42" t="s">
        <v>209</v>
      </c>
      <c r="P26" s="40">
        <v>45995</v>
      </c>
      <c r="Q26" s="41" t="s">
        <v>305</v>
      </c>
      <c r="R26" s="30"/>
      <c r="S26" s="43"/>
      <c r="T26" s="53"/>
      <c r="U26" s="43"/>
      <c r="V26" s="43"/>
      <c r="W26" s="43"/>
      <c r="X26" s="43"/>
      <c r="Y26" s="43"/>
      <c r="Z26" s="43"/>
      <c r="AA26" s="43"/>
      <c r="AB26" s="43"/>
      <c r="AC26" s="43"/>
    </row>
    <row r="27" ht="66" outlineLevel="1" spans="1:29">
      <c r="A27" s="30" t="s">
        <v>1881</v>
      </c>
      <c r="B27" s="30" t="s">
        <v>1890</v>
      </c>
      <c r="C27" s="30" t="s">
        <v>1891</v>
      </c>
      <c r="D27" s="31" t="s">
        <v>1892</v>
      </c>
      <c r="E27" s="31" t="s">
        <v>1889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305</v>
      </c>
      <c r="L27" s="42" t="s">
        <v>209</v>
      </c>
      <c r="M27" s="40">
        <v>45993</v>
      </c>
      <c r="N27" s="41" t="s">
        <v>305</v>
      </c>
      <c r="O27" s="42" t="s">
        <v>209</v>
      </c>
      <c r="P27" s="40">
        <v>45995</v>
      </c>
      <c r="Q27" s="41" t="s">
        <v>305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145.2" outlineLevel="1" spans="1:29">
      <c r="A28" s="30" t="s">
        <v>1881</v>
      </c>
      <c r="B28" s="30" t="s">
        <v>1893</v>
      </c>
      <c r="C28" s="30" t="s">
        <v>1894</v>
      </c>
      <c r="D28" s="31" t="s">
        <v>1895</v>
      </c>
      <c r="E28" s="31" t="s">
        <v>1896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305</v>
      </c>
      <c r="L28" s="42" t="s">
        <v>209</v>
      </c>
      <c r="M28" s="40">
        <v>45993</v>
      </c>
      <c r="N28" s="41" t="s">
        <v>305</v>
      </c>
      <c r="O28" s="42" t="s">
        <v>209</v>
      </c>
      <c r="P28" s="40">
        <v>45995</v>
      </c>
      <c r="Q28" s="41" t="s">
        <v>305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132" outlineLevel="1" spans="1:29">
      <c r="A29" s="30" t="s">
        <v>1881</v>
      </c>
      <c r="B29" s="30" t="s">
        <v>1897</v>
      </c>
      <c r="C29" s="30" t="s">
        <v>1898</v>
      </c>
      <c r="D29" s="31" t="s">
        <v>1899</v>
      </c>
      <c r="E29" s="31" t="s">
        <v>1900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305</v>
      </c>
      <c r="L29" s="42" t="s">
        <v>209</v>
      </c>
      <c r="M29" s="40">
        <v>45993</v>
      </c>
      <c r="N29" s="41" t="s">
        <v>305</v>
      </c>
      <c r="O29" s="42" t="s">
        <v>209</v>
      </c>
      <c r="P29" s="40">
        <v>45995</v>
      </c>
      <c r="Q29" s="41" t="s">
        <v>305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132" outlineLevel="1" spans="1:29">
      <c r="A30" s="30" t="s">
        <v>1881</v>
      </c>
      <c r="B30" s="30" t="s">
        <v>1901</v>
      </c>
      <c r="C30" s="30" t="s">
        <v>1902</v>
      </c>
      <c r="D30" s="31" t="s">
        <v>1903</v>
      </c>
      <c r="E30" s="31" t="s">
        <v>1904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305</v>
      </c>
      <c r="L30" s="42" t="s">
        <v>209</v>
      </c>
      <c r="M30" s="40">
        <v>45993</v>
      </c>
      <c r="N30" s="41" t="s">
        <v>305</v>
      </c>
      <c r="O30" s="42" t="s">
        <v>209</v>
      </c>
      <c r="P30" s="40">
        <v>45995</v>
      </c>
      <c r="Q30" s="41" t="s">
        <v>305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118.8" outlineLevel="1" spans="1:29">
      <c r="A31" s="30" t="s">
        <v>1881</v>
      </c>
      <c r="B31" s="30" t="s">
        <v>1905</v>
      </c>
      <c r="C31" s="30" t="s">
        <v>1906</v>
      </c>
      <c r="D31" s="31" t="s">
        <v>1907</v>
      </c>
      <c r="E31" s="31" t="s">
        <v>1904</v>
      </c>
      <c r="F31" s="30" t="s">
        <v>237</v>
      </c>
      <c r="G31" s="32" t="s">
        <v>209</v>
      </c>
      <c r="H31" s="33"/>
      <c r="I31" s="33"/>
      <c r="J31" s="40">
        <v>45991</v>
      </c>
      <c r="K31" s="41" t="s">
        <v>305</v>
      </c>
      <c r="L31" s="42" t="s">
        <v>209</v>
      </c>
      <c r="M31" s="40">
        <v>45993</v>
      </c>
      <c r="N31" s="41" t="s">
        <v>305</v>
      </c>
      <c r="O31" s="42" t="s">
        <v>209</v>
      </c>
      <c r="P31" s="40">
        <v>45995</v>
      </c>
      <c r="Q31" s="41" t="s">
        <v>305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92.4" outlineLevel="1" spans="1:29">
      <c r="A32" s="30" t="s">
        <v>1881</v>
      </c>
      <c r="B32" s="30" t="s">
        <v>1908</v>
      </c>
      <c r="C32" s="30" t="s">
        <v>1909</v>
      </c>
      <c r="D32" s="31" t="s">
        <v>1910</v>
      </c>
      <c r="E32" s="31" t="s">
        <v>1911</v>
      </c>
      <c r="F32" s="30" t="s">
        <v>237</v>
      </c>
      <c r="G32" s="32" t="s">
        <v>209</v>
      </c>
      <c r="H32" s="33"/>
      <c r="I32" s="33"/>
      <c r="J32" s="40">
        <v>45991</v>
      </c>
      <c r="K32" s="41" t="s">
        <v>305</v>
      </c>
      <c r="L32" s="42" t="s">
        <v>209</v>
      </c>
      <c r="M32" s="40">
        <v>45993</v>
      </c>
      <c r="N32" s="41" t="s">
        <v>305</v>
      </c>
      <c r="O32" s="42" t="s">
        <v>209</v>
      </c>
      <c r="P32" s="40">
        <v>45995</v>
      </c>
      <c r="Q32" s="41" t="s">
        <v>305</v>
      </c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45.2" outlineLevel="1" spans="1:29">
      <c r="A33" s="30" t="s">
        <v>1881</v>
      </c>
      <c r="B33" s="30" t="s">
        <v>1912</v>
      </c>
      <c r="C33" s="30" t="s">
        <v>1913</v>
      </c>
      <c r="D33" s="31" t="s">
        <v>1914</v>
      </c>
      <c r="E33" s="31" t="s">
        <v>1915</v>
      </c>
      <c r="F33" s="30" t="s">
        <v>237</v>
      </c>
      <c r="G33" s="32" t="s">
        <v>209</v>
      </c>
      <c r="H33" s="33"/>
      <c r="I33" s="33"/>
      <c r="J33" s="40">
        <v>45991</v>
      </c>
      <c r="K33" s="41" t="s">
        <v>305</v>
      </c>
      <c r="L33" s="42" t="s">
        <v>209</v>
      </c>
      <c r="M33" s="40">
        <v>45993</v>
      </c>
      <c r="N33" s="41" t="s">
        <v>305</v>
      </c>
      <c r="O33" s="42" t="s">
        <v>209</v>
      </c>
      <c r="P33" s="40">
        <v>45995</v>
      </c>
      <c r="Q33" s="41" t="s">
        <v>305</v>
      </c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45.2" outlineLevel="1" spans="1:29">
      <c r="A34" s="30" t="s">
        <v>1881</v>
      </c>
      <c r="B34" s="30" t="s">
        <v>1916</v>
      </c>
      <c r="C34" s="30" t="s">
        <v>1917</v>
      </c>
      <c r="D34" s="31" t="s">
        <v>1918</v>
      </c>
      <c r="E34" s="31" t="s">
        <v>1919</v>
      </c>
      <c r="F34" s="30" t="s">
        <v>237</v>
      </c>
      <c r="G34" s="32" t="s">
        <v>209</v>
      </c>
      <c r="H34" s="33"/>
      <c r="I34" s="33"/>
      <c r="J34" s="40">
        <v>45991</v>
      </c>
      <c r="K34" s="41" t="s">
        <v>305</v>
      </c>
      <c r="L34" s="42" t="s">
        <v>209</v>
      </c>
      <c r="M34" s="40">
        <v>45993</v>
      </c>
      <c r="N34" s="41" t="s">
        <v>305</v>
      </c>
      <c r="O34" s="42" t="s">
        <v>209</v>
      </c>
      <c r="P34" s="40">
        <v>45995</v>
      </c>
      <c r="Q34" s="41" t="s">
        <v>305</v>
      </c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3.8" outlineLevel="1" spans="1:29">
      <c r="A35" s="30"/>
      <c r="B35" s="30"/>
      <c r="C35" s="30"/>
      <c r="D35" s="31"/>
      <c r="E35" s="31"/>
      <c r="F35" s="30"/>
      <c r="G35" s="32"/>
      <c r="H35" s="33"/>
      <c r="I35" s="33"/>
      <c r="J35" s="40"/>
      <c r="K35" s="41"/>
      <c r="L35" s="42"/>
      <c r="M35" s="40"/>
      <c r="N35" s="41"/>
      <c r="O35" s="42"/>
      <c r="P35" s="40"/>
      <c r="Q35" s="41"/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3.8" outlineLevel="1" spans="1:29">
      <c r="A36" s="30"/>
      <c r="B36" s="30"/>
      <c r="C36" s="30"/>
      <c r="D36" s="31"/>
      <c r="E36" s="31"/>
      <c r="F36" s="30"/>
      <c r="G36" s="32"/>
      <c r="H36" s="33"/>
      <c r="I36" s="33"/>
      <c r="J36" s="40"/>
      <c r="K36" s="41"/>
      <c r="L36" s="42"/>
      <c r="M36" s="40"/>
      <c r="N36" s="41"/>
      <c r="O36" s="42"/>
      <c r="P36" s="40"/>
      <c r="Q36" s="41"/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3.8" outlineLevel="1" spans="1:29">
      <c r="A37" s="30"/>
      <c r="B37" s="30"/>
      <c r="C37" s="30"/>
      <c r="D37" s="31"/>
      <c r="E37" s="31"/>
      <c r="F37" s="30"/>
      <c r="G37" s="32"/>
      <c r="H37" s="33"/>
      <c r="I37" s="33"/>
      <c r="J37" s="40"/>
      <c r="K37" s="41"/>
      <c r="L37" s="42"/>
      <c r="M37" s="40"/>
      <c r="N37" s="41"/>
      <c r="O37" s="42"/>
      <c r="P37" s="40"/>
      <c r="Q37" s="41"/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3.8" outlineLevel="1" spans="1:29">
      <c r="A38" s="30"/>
      <c r="B38" s="30"/>
      <c r="C38" s="30"/>
      <c r="D38" s="31"/>
      <c r="E38" s="31"/>
      <c r="F38" s="30"/>
      <c r="G38" s="32"/>
      <c r="H38" s="33"/>
      <c r="I38" s="33"/>
      <c r="J38" s="40"/>
      <c r="K38" s="41"/>
      <c r="L38" s="42"/>
      <c r="M38" s="40"/>
      <c r="N38" s="41"/>
      <c r="O38" s="42"/>
      <c r="P38" s="40"/>
      <c r="Q38" s="41"/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8" outlineLevel="1" spans="1:29">
      <c r="A39" s="30"/>
      <c r="B39" s="30"/>
      <c r="C39" s="30"/>
      <c r="D39" s="31"/>
      <c r="E39" s="31"/>
      <c r="F39" s="30"/>
      <c r="G39" s="32"/>
      <c r="H39" s="33"/>
      <c r="I39" s="33"/>
      <c r="J39" s="40"/>
      <c r="K39" s="41"/>
      <c r="L39" s="42"/>
      <c r="M39" s="40"/>
      <c r="N39" s="41"/>
      <c r="O39" s="42"/>
      <c r="P39" s="40"/>
      <c r="Q39" s="41"/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8" spans="1:29">
      <c r="A40" s="30"/>
      <c r="B40" s="30"/>
      <c r="C40" s="30"/>
      <c r="D40" s="31"/>
      <c r="E40" s="31"/>
      <c r="F40" s="30"/>
      <c r="G40" s="32"/>
      <c r="H40" s="33"/>
      <c r="I40" s="33"/>
      <c r="J40" s="40"/>
      <c r="K40" s="41"/>
      <c r="L40" s="42"/>
      <c r="M40" s="40"/>
      <c r="N40" s="41"/>
      <c r="O40" s="42"/>
      <c r="P40" s="40"/>
      <c r="Q40" s="41"/>
      <c r="R40" s="30"/>
      <c r="S40" s="47"/>
      <c r="T40" s="51"/>
      <c r="U40" s="47"/>
      <c r="V40" s="47"/>
      <c r="W40" s="47"/>
      <c r="X40" s="47"/>
      <c r="Y40" s="47"/>
      <c r="Z40" s="47"/>
      <c r="AA40" s="47"/>
      <c r="AB40" s="47"/>
      <c r="AC40" s="47"/>
    </row>
    <row r="41" ht="13.8" spans="1:29">
      <c r="A41" s="30"/>
      <c r="B41" s="30"/>
      <c r="C41" s="30"/>
      <c r="D41" s="31"/>
      <c r="E41" s="31"/>
      <c r="F41" s="30"/>
      <c r="G41" s="32"/>
      <c r="H41" s="33"/>
      <c r="I41" s="33"/>
      <c r="J41" s="40"/>
      <c r="K41" s="41"/>
      <c r="L41" s="42"/>
      <c r="M41" s="40"/>
      <c r="N41" s="41"/>
      <c r="O41" s="42"/>
      <c r="P41" s="40"/>
      <c r="Q41" s="41"/>
      <c r="R41" s="30"/>
      <c r="S41" s="54"/>
      <c r="T41" s="55"/>
      <c r="U41" s="54"/>
      <c r="V41" s="54"/>
      <c r="W41" s="54"/>
      <c r="X41" s="54"/>
      <c r="Y41" s="54"/>
      <c r="Z41" s="54"/>
      <c r="AA41" s="54"/>
      <c r="AB41" s="54"/>
      <c r="AC41" s="54"/>
    </row>
    <row r="42" ht="13.8" spans="1:29">
      <c r="A42" s="30"/>
      <c r="B42" s="30"/>
      <c r="C42" s="30"/>
      <c r="D42" s="31"/>
      <c r="E42" s="31"/>
      <c r="F42" s="30"/>
      <c r="G42" s="32"/>
      <c r="H42" s="33"/>
      <c r="I42" s="33"/>
      <c r="J42" s="40"/>
      <c r="K42" s="41"/>
      <c r="L42" s="42"/>
      <c r="M42" s="40"/>
      <c r="N42" s="41"/>
      <c r="O42" s="42"/>
      <c r="P42" s="40"/>
      <c r="Q42" s="41"/>
      <c r="R42" s="30"/>
      <c r="S42" s="54"/>
      <c r="T42" s="55"/>
      <c r="U42" s="54"/>
      <c r="V42" s="54"/>
      <c r="W42" s="54"/>
      <c r="X42" s="54"/>
      <c r="Y42" s="54"/>
      <c r="Z42" s="54"/>
      <c r="AA42" s="54"/>
      <c r="AB42" s="54"/>
      <c r="AC42" s="54"/>
    </row>
    <row r="43" ht="13.8" outlineLevel="1" spans="1:29">
      <c r="A43" s="30"/>
      <c r="B43" s="30"/>
      <c r="C43" s="30"/>
      <c r="D43" s="31"/>
      <c r="E43" s="31"/>
      <c r="F43" s="30"/>
      <c r="G43" s="32"/>
      <c r="H43" s="33"/>
      <c r="I43" s="33"/>
      <c r="J43" s="40"/>
      <c r="K43" s="41"/>
      <c r="L43" s="42"/>
      <c r="M43" s="40"/>
      <c r="N43" s="41"/>
      <c r="O43" s="42"/>
      <c r="P43" s="40"/>
      <c r="Q43" s="41"/>
      <c r="R43" s="30"/>
      <c r="S43" s="37"/>
      <c r="T43" s="56"/>
      <c r="U43" s="37"/>
      <c r="V43" s="37"/>
      <c r="W43" s="37"/>
      <c r="X43" s="37"/>
      <c r="Y43" s="37"/>
      <c r="Z43" s="37"/>
      <c r="AA43" s="37"/>
      <c r="AB43" s="37"/>
      <c r="AC43" s="37"/>
    </row>
    <row r="44" ht="13.8" outlineLevel="1" spans="1:29">
      <c r="A44" s="30"/>
      <c r="B44" s="30"/>
      <c r="C44" s="30"/>
      <c r="D44" s="31"/>
      <c r="E44" s="31"/>
      <c r="F44" s="30"/>
      <c r="G44" s="32"/>
      <c r="H44" s="33"/>
      <c r="I44" s="33"/>
      <c r="J44" s="40"/>
      <c r="K44" s="41"/>
      <c r="L44" s="42"/>
      <c r="M44" s="40"/>
      <c r="N44" s="41"/>
      <c r="O44" s="42"/>
      <c r="P44" s="40"/>
      <c r="Q44" s="41"/>
      <c r="R44" s="30"/>
      <c r="S44" s="37"/>
      <c r="T44" s="56"/>
      <c r="U44" s="37"/>
      <c r="V44" s="37"/>
      <c r="W44" s="37"/>
      <c r="X44" s="37"/>
      <c r="Y44" s="37"/>
      <c r="Z44" s="37"/>
      <c r="AA44" s="37"/>
      <c r="AB44" s="37"/>
      <c r="AC44" s="37"/>
    </row>
    <row r="45" ht="64.5" customHeight="1" outlineLevel="1" spans="1:29">
      <c r="A45" s="30"/>
      <c r="B45" s="30"/>
      <c r="C45" s="30"/>
      <c r="D45" s="31"/>
      <c r="E45" s="31"/>
      <c r="F45" s="30"/>
      <c r="G45" s="32"/>
      <c r="H45" s="33"/>
      <c r="I45" s="33"/>
      <c r="J45" s="40"/>
      <c r="K45" s="41"/>
      <c r="L45" s="42"/>
      <c r="M45" s="40"/>
      <c r="N45" s="41"/>
      <c r="O45" s="42"/>
      <c r="P45" s="40"/>
      <c r="Q45" s="41"/>
      <c r="R45" s="30"/>
      <c r="S45" s="37"/>
      <c r="T45" s="57"/>
      <c r="U45" s="37"/>
      <c r="V45" s="37"/>
      <c r="W45" s="37"/>
      <c r="X45" s="37"/>
      <c r="Y45" s="37"/>
      <c r="Z45" s="37"/>
      <c r="AA45" s="37"/>
      <c r="AB45" s="37"/>
      <c r="AC45" s="37"/>
    </row>
    <row r="46" ht="64.5" customHeight="1" spans="1:29">
      <c r="A46" s="30"/>
      <c r="B46" s="30"/>
      <c r="C46" s="30"/>
      <c r="D46" s="31"/>
      <c r="E46" s="31"/>
      <c r="F46" s="30"/>
      <c r="G46" s="32"/>
      <c r="H46" s="33"/>
      <c r="I46" s="33"/>
      <c r="J46" s="40"/>
      <c r="K46" s="41"/>
      <c r="L46" s="42"/>
      <c r="M46" s="40"/>
      <c r="N46" s="41"/>
      <c r="O46" s="42"/>
      <c r="P46" s="40"/>
      <c r="Q46" s="41"/>
      <c r="R46" s="30"/>
      <c r="S46" s="54"/>
      <c r="T46" s="55"/>
      <c r="U46" s="54"/>
      <c r="V46" s="54"/>
      <c r="W46" s="54"/>
      <c r="X46" s="54"/>
      <c r="Y46" s="54"/>
      <c r="Z46" s="54"/>
      <c r="AA46" s="54"/>
      <c r="AB46" s="54"/>
      <c r="AC46" s="54"/>
    </row>
    <row r="47" ht="64.5" customHeight="1" outlineLevel="1" spans="1:29">
      <c r="A47" s="30"/>
      <c r="B47" s="30"/>
      <c r="C47" s="30"/>
      <c r="D47" s="31"/>
      <c r="E47" s="31"/>
      <c r="F47" s="30"/>
      <c r="G47" s="32"/>
      <c r="H47" s="33"/>
      <c r="I47" s="33"/>
      <c r="J47" s="40"/>
      <c r="K47" s="41"/>
      <c r="L47" s="42"/>
      <c r="M47" s="40"/>
      <c r="N47" s="41"/>
      <c r="O47" s="42"/>
      <c r="P47" s="40"/>
      <c r="Q47" s="41"/>
      <c r="R47" s="30"/>
      <c r="S47" s="37"/>
      <c r="T47" s="56"/>
      <c r="U47" s="37"/>
      <c r="V47" s="37"/>
      <c r="W47" s="37"/>
      <c r="X47" s="37"/>
      <c r="Y47" s="37"/>
      <c r="Z47" s="37"/>
      <c r="AA47" s="37"/>
      <c r="AB47" s="37"/>
      <c r="AC47" s="37"/>
    </row>
    <row r="48" ht="64.5" customHeight="1" spans="1:29">
      <c r="A48" s="30"/>
      <c r="B48" s="30"/>
      <c r="C48" s="30"/>
      <c r="D48" s="31"/>
      <c r="E48" s="31"/>
      <c r="F48" s="30"/>
      <c r="G48" s="32"/>
      <c r="H48" s="33"/>
      <c r="I48" s="33"/>
      <c r="J48" s="40"/>
      <c r="K48" s="41"/>
      <c r="L48" s="42"/>
      <c r="M48" s="40"/>
      <c r="N48" s="41"/>
      <c r="O48" s="42"/>
      <c r="P48" s="40"/>
      <c r="Q48" s="41"/>
      <c r="R48" s="30"/>
      <c r="S48" s="37"/>
      <c r="T48" s="57"/>
      <c r="U48" s="37"/>
      <c r="V48" s="37"/>
      <c r="W48" s="37"/>
      <c r="X48" s="37"/>
      <c r="Y48" s="37"/>
      <c r="Z48" s="37"/>
      <c r="AA48" s="37"/>
      <c r="AB48" s="37"/>
      <c r="AC48" s="37"/>
    </row>
    <row r="49" ht="30" customHeight="1" spans="1:29">
      <c r="A49" s="30"/>
      <c r="B49" s="30"/>
      <c r="C49" s="30"/>
      <c r="D49" s="31"/>
      <c r="E49" s="31"/>
      <c r="F49" s="30"/>
      <c r="G49" s="32"/>
      <c r="H49" s="33"/>
      <c r="I49" s="33"/>
      <c r="J49" s="40"/>
      <c r="K49" s="41"/>
      <c r="L49" s="42"/>
      <c r="M49" s="40"/>
      <c r="N49" s="41"/>
      <c r="O49" s="42"/>
      <c r="P49" s="40"/>
      <c r="Q49" s="41"/>
      <c r="R49" s="30"/>
      <c r="S49" s="43"/>
      <c r="T49" s="44"/>
      <c r="U49" s="43"/>
      <c r="V49" s="43"/>
      <c r="W49" s="43"/>
      <c r="X49" s="43"/>
      <c r="Y49" s="43"/>
      <c r="Z49" s="43"/>
      <c r="AA49" s="43"/>
      <c r="AB49" s="43"/>
      <c r="AC49" s="43"/>
    </row>
    <row r="50" ht="19.5" customHeight="1" spans="1:29">
      <c r="A50" s="30"/>
      <c r="B50" s="30"/>
      <c r="C50" s="30"/>
      <c r="D50" s="31"/>
      <c r="E50" s="31"/>
      <c r="F50" s="30"/>
      <c r="G50" s="32"/>
      <c r="H50" s="33"/>
      <c r="I50" s="33"/>
      <c r="J50" s="40"/>
      <c r="K50" s="41"/>
      <c r="L50" s="42"/>
      <c r="M50" s="40"/>
      <c r="N50" s="41"/>
      <c r="O50" s="42"/>
      <c r="P50" s="40"/>
      <c r="Q50" s="41"/>
      <c r="R50" s="30"/>
      <c r="S50" s="43"/>
      <c r="T50" s="44"/>
      <c r="U50" s="43"/>
      <c r="V50" s="43"/>
      <c r="W50" s="43"/>
      <c r="X50" s="43"/>
      <c r="Y50" s="43"/>
      <c r="Z50" s="43"/>
      <c r="AA50" s="43"/>
      <c r="AB50" s="43"/>
      <c r="AC50" s="43"/>
    </row>
    <row r="51" ht="28.5" customHeight="1" spans="1:29">
      <c r="A51" s="30"/>
      <c r="B51" s="30"/>
      <c r="C51" s="30"/>
      <c r="D51" s="31"/>
      <c r="E51" s="31"/>
      <c r="F51" s="30"/>
      <c r="G51" s="32"/>
      <c r="H51" s="33"/>
      <c r="I51" s="33"/>
      <c r="J51" s="40"/>
      <c r="K51" s="41"/>
      <c r="L51" s="42"/>
      <c r="M51" s="40"/>
      <c r="N51" s="41"/>
      <c r="O51" s="42"/>
      <c r="P51" s="40"/>
      <c r="Q51" s="41"/>
      <c r="R51" s="30"/>
      <c r="S51" s="43"/>
      <c r="T51" s="44"/>
      <c r="U51" s="43"/>
      <c r="V51" s="43"/>
      <c r="W51" s="43"/>
      <c r="X51" s="43"/>
      <c r="Y51" s="43"/>
      <c r="Z51" s="43"/>
      <c r="AA51" s="43"/>
      <c r="AB51" s="43"/>
      <c r="AC51" s="43"/>
    </row>
    <row r="52" ht="24.75" customHeight="1" spans="1:29">
      <c r="A52" s="30"/>
      <c r="B52" s="30"/>
      <c r="C52" s="30"/>
      <c r="D52" s="31"/>
      <c r="E52" s="31"/>
      <c r="F52" s="30"/>
      <c r="G52" s="32"/>
      <c r="H52" s="33"/>
      <c r="I52" s="33"/>
      <c r="J52" s="40"/>
      <c r="K52" s="41"/>
      <c r="L52" s="42"/>
      <c r="M52" s="40"/>
      <c r="N52" s="41"/>
      <c r="O52" s="42"/>
      <c r="P52" s="40"/>
      <c r="Q52" s="41"/>
      <c r="R52" s="30"/>
      <c r="S52" s="43"/>
      <c r="T52" s="44"/>
      <c r="U52" s="43"/>
      <c r="V52" s="43"/>
      <c r="W52" s="43"/>
      <c r="X52" s="43"/>
      <c r="Y52" s="43"/>
      <c r="Z52" s="43"/>
      <c r="AA52" s="43"/>
      <c r="AB52" s="43"/>
      <c r="AC52" s="43"/>
    </row>
    <row r="53" ht="35.25" customHeight="1" spans="1:29">
      <c r="A53" s="30"/>
      <c r="B53" s="30"/>
      <c r="C53" s="30"/>
      <c r="D53" s="31"/>
      <c r="E53" s="31"/>
      <c r="F53" s="30"/>
      <c r="G53" s="32"/>
      <c r="H53" s="33"/>
      <c r="I53" s="33"/>
      <c r="J53" s="40"/>
      <c r="K53" s="41"/>
      <c r="L53" s="42"/>
      <c r="M53" s="40"/>
      <c r="N53" s="41"/>
      <c r="O53" s="42"/>
      <c r="P53" s="40"/>
      <c r="Q53" s="41"/>
      <c r="R53" s="30"/>
      <c r="S53" s="43"/>
      <c r="T53" s="44"/>
      <c r="U53" s="43"/>
      <c r="V53" s="43"/>
      <c r="W53" s="43"/>
      <c r="X53" s="43"/>
      <c r="Y53" s="43"/>
      <c r="Z53" s="43"/>
      <c r="AA53" s="43"/>
      <c r="AB53" s="43"/>
      <c r="AC53" s="43"/>
    </row>
    <row r="54" ht="33.75" customHeight="1" spans="1:29">
      <c r="A54" s="30"/>
      <c r="B54" s="30"/>
      <c r="C54" s="30"/>
      <c r="D54" s="31"/>
      <c r="E54" s="31"/>
      <c r="F54" s="30"/>
      <c r="G54" s="32"/>
      <c r="H54" s="33"/>
      <c r="I54" s="33"/>
      <c r="J54" s="40"/>
      <c r="K54" s="41"/>
      <c r="L54" s="42"/>
      <c r="M54" s="40"/>
      <c r="N54" s="41"/>
      <c r="O54" s="42"/>
      <c r="P54" s="40"/>
      <c r="Q54" s="41"/>
      <c r="R54" s="30"/>
      <c r="S54" s="43"/>
      <c r="T54" s="44"/>
      <c r="U54" s="43"/>
      <c r="V54" s="43"/>
      <c r="W54" s="43"/>
      <c r="X54" s="43"/>
      <c r="Y54" s="43"/>
      <c r="Z54" s="43"/>
      <c r="AA54" s="43"/>
      <c r="AB54" s="43"/>
      <c r="AC54" s="43"/>
    </row>
    <row r="55" ht="34.5" customHeight="1" spans="1:29">
      <c r="A55" s="30"/>
      <c r="B55" s="30"/>
      <c r="C55" s="30"/>
      <c r="D55" s="31"/>
      <c r="E55" s="31"/>
      <c r="F55" s="30"/>
      <c r="G55" s="32"/>
      <c r="H55" s="33"/>
      <c r="I55" s="33"/>
      <c r="J55" s="40"/>
      <c r="K55" s="41"/>
      <c r="L55" s="42"/>
      <c r="M55" s="40"/>
      <c r="N55" s="41"/>
      <c r="O55" s="42"/>
      <c r="P55" s="40"/>
      <c r="Q55" s="41"/>
      <c r="R55" s="30"/>
      <c r="S55" s="43"/>
      <c r="T55" s="44"/>
      <c r="U55" s="43"/>
      <c r="V55" s="43"/>
      <c r="W55" s="43"/>
      <c r="X55" s="43"/>
      <c r="Y55" s="43"/>
      <c r="Z55" s="43"/>
      <c r="AA55" s="43"/>
      <c r="AB55" s="43"/>
      <c r="AC55" s="43"/>
    </row>
    <row r="56" ht="47.25" customHeight="1" spans="1:29">
      <c r="A56" s="30"/>
      <c r="B56" s="30"/>
      <c r="C56" s="30"/>
      <c r="D56" s="31"/>
      <c r="E56" s="31"/>
      <c r="F56" s="30"/>
      <c r="G56" s="32"/>
      <c r="H56" s="33"/>
      <c r="I56" s="33"/>
      <c r="J56" s="40"/>
      <c r="K56" s="41"/>
      <c r="L56" s="42"/>
      <c r="M56" s="40"/>
      <c r="N56" s="41"/>
      <c r="O56" s="42"/>
      <c r="P56" s="40"/>
      <c r="Q56" s="41"/>
      <c r="R56" s="30"/>
      <c r="S56" s="43"/>
      <c r="T56" s="44"/>
      <c r="U56" s="43"/>
      <c r="V56" s="43"/>
      <c r="W56" s="43"/>
      <c r="X56" s="43"/>
      <c r="Y56" s="43"/>
      <c r="Z56" s="43"/>
      <c r="AA56" s="43"/>
      <c r="AB56" s="43"/>
      <c r="AC56" s="43"/>
    </row>
    <row r="57" ht="25.5" customHeight="1" spans="1:29">
      <c r="A57" s="30"/>
      <c r="B57" s="30"/>
      <c r="C57" s="30"/>
      <c r="D57" s="31"/>
      <c r="E57" s="31"/>
      <c r="F57" s="30"/>
      <c r="G57" s="32"/>
      <c r="H57" s="33"/>
      <c r="I57" s="33"/>
      <c r="J57" s="40"/>
      <c r="K57" s="41"/>
      <c r="L57" s="42"/>
      <c r="M57" s="40"/>
      <c r="N57" s="41"/>
      <c r="O57" s="42"/>
      <c r="P57" s="40"/>
      <c r="Q57" s="41"/>
      <c r="R57" s="30"/>
      <c r="S57" s="43"/>
      <c r="T57" s="44"/>
      <c r="U57" s="43"/>
      <c r="V57" s="43"/>
      <c r="W57" s="43"/>
      <c r="X57" s="43"/>
      <c r="Y57" s="43"/>
      <c r="Z57" s="43"/>
      <c r="AA57" s="43"/>
      <c r="AB57" s="43"/>
      <c r="AC57" s="43"/>
    </row>
    <row r="58" ht="21.75" customHeight="1" spans="1:29">
      <c r="A58" s="30"/>
      <c r="B58" s="30"/>
      <c r="C58" s="30"/>
      <c r="D58" s="31"/>
      <c r="E58" s="31"/>
      <c r="F58" s="30"/>
      <c r="G58" s="32"/>
      <c r="H58" s="33"/>
      <c r="I58" s="33"/>
      <c r="J58" s="40"/>
      <c r="K58" s="41"/>
      <c r="L58" s="42"/>
      <c r="M58" s="40"/>
      <c r="N58" s="41"/>
      <c r="O58" s="42"/>
      <c r="P58" s="40"/>
      <c r="Q58" s="41"/>
      <c r="R58" s="30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21.75" customHeight="1" spans="1:29">
      <c r="A59" s="30"/>
      <c r="B59" s="30"/>
      <c r="C59" s="30"/>
      <c r="D59" s="31"/>
      <c r="E59" s="31"/>
      <c r="F59" s="30"/>
      <c r="G59" s="32"/>
      <c r="H59" s="33"/>
      <c r="I59" s="33"/>
      <c r="J59" s="40"/>
      <c r="K59" s="41"/>
      <c r="L59" s="42"/>
      <c r="M59" s="40"/>
      <c r="N59" s="41"/>
      <c r="O59" s="42"/>
      <c r="P59" s="40"/>
      <c r="Q59" s="41"/>
      <c r="R59" s="30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32.25" customHeight="1" spans="1:29">
      <c r="A60" s="34"/>
      <c r="B60" s="34"/>
      <c r="C60" s="35"/>
      <c r="D60" s="36"/>
      <c r="E60" s="36"/>
      <c r="F60" s="30"/>
      <c r="G60" s="32"/>
      <c r="H60" s="33"/>
      <c r="I60" s="33"/>
      <c r="J60" s="40"/>
      <c r="K60" s="41"/>
      <c r="L60" s="42"/>
      <c r="M60" s="40"/>
      <c r="N60" s="41"/>
      <c r="O60" s="42"/>
      <c r="P60" s="40"/>
      <c r="Q60" s="41"/>
      <c r="R60" s="30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43"/>
      <c r="C221" s="58"/>
      <c r="D221" s="59"/>
      <c r="E221" s="59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43"/>
      <c r="C222" s="58"/>
      <c r="D222" s="59"/>
      <c r="E222" s="59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43"/>
      <c r="C223" s="58"/>
      <c r="D223" s="59"/>
      <c r="E223" s="59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43"/>
      <c r="C224" s="58"/>
      <c r="D224" s="59"/>
      <c r="E224" s="59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43"/>
      <c r="C225" s="58"/>
      <c r="D225" s="59"/>
      <c r="E225" s="59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43"/>
      <c r="C226" s="58"/>
      <c r="D226" s="59"/>
      <c r="E226" s="59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43"/>
      <c r="C227" s="58"/>
      <c r="D227" s="59"/>
      <c r="E227" s="59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43"/>
      <c r="C228" s="58"/>
      <c r="D228" s="59"/>
      <c r="E228" s="59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43"/>
      <c r="C229" s="58"/>
      <c r="D229" s="59"/>
      <c r="E229" s="59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11:G60 H2:H3 L11:L60 M2:M3 O11:O60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17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114</v>
      </c>
      <c r="D2" s="7"/>
      <c r="E2" s="7"/>
      <c r="F2" s="8"/>
      <c r="G2" s="9" t="s">
        <v>1920</v>
      </c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COUNTA(B11:B957)-COUNTIF($N11:$N957,"Skip")</f>
        <v>50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COUNTIF($G11:$G957,C5)</f>
        <v>50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COUNTIF($L11:$L957,C5)</f>
        <v>50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COUNTIF($O11:$O957,C5)</f>
        <v>50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66" spans="1:29">
      <c r="A11" s="30" t="s">
        <v>113</v>
      </c>
      <c r="B11" s="30" t="s">
        <v>1921</v>
      </c>
      <c r="C11" s="30" t="s">
        <v>1922</v>
      </c>
      <c r="D11" s="31" t="s">
        <v>1923</v>
      </c>
      <c r="E11" s="31" t="s">
        <v>1924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305</v>
      </c>
      <c r="L11" s="42" t="s">
        <v>209</v>
      </c>
      <c r="M11" s="40">
        <v>45993</v>
      </c>
      <c r="N11" s="41" t="s">
        <v>305</v>
      </c>
      <c r="O11" s="42" t="s">
        <v>209</v>
      </c>
      <c r="P11" s="40">
        <v>45995</v>
      </c>
      <c r="Q11" s="41" t="s">
        <v>305</v>
      </c>
      <c r="R11" s="3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79.2" spans="1:29">
      <c r="A12" s="30" t="s">
        <v>113</v>
      </c>
      <c r="B12" s="30" t="s">
        <v>1925</v>
      </c>
      <c r="C12" s="30" t="s">
        <v>1926</v>
      </c>
      <c r="D12" s="31" t="s">
        <v>1927</v>
      </c>
      <c r="E12" s="31" t="s">
        <v>1928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305</v>
      </c>
      <c r="L12" s="42" t="s">
        <v>209</v>
      </c>
      <c r="M12" s="40">
        <v>45993</v>
      </c>
      <c r="N12" s="41" t="s">
        <v>305</v>
      </c>
      <c r="O12" s="42" t="s">
        <v>209</v>
      </c>
      <c r="P12" s="40">
        <v>45995</v>
      </c>
      <c r="Q12" s="41" t="s">
        <v>305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79.2" spans="1:29">
      <c r="A13" s="30" t="s">
        <v>113</v>
      </c>
      <c r="B13" s="30" t="s">
        <v>1929</v>
      </c>
      <c r="C13" s="30" t="s">
        <v>1930</v>
      </c>
      <c r="D13" s="31" t="s">
        <v>1931</v>
      </c>
      <c r="E13" s="31" t="s">
        <v>1928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305</v>
      </c>
      <c r="L13" s="42" t="s">
        <v>209</v>
      </c>
      <c r="M13" s="40">
        <v>45993</v>
      </c>
      <c r="N13" s="41" t="s">
        <v>305</v>
      </c>
      <c r="O13" s="42" t="s">
        <v>209</v>
      </c>
      <c r="P13" s="40">
        <v>45995</v>
      </c>
      <c r="Q13" s="41" t="s">
        <v>305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79.2" spans="1:29">
      <c r="A14" s="30" t="s">
        <v>113</v>
      </c>
      <c r="B14" s="30" t="s">
        <v>1932</v>
      </c>
      <c r="C14" s="30" t="s">
        <v>1933</v>
      </c>
      <c r="D14" s="31" t="s">
        <v>1934</v>
      </c>
      <c r="E14" s="31" t="s">
        <v>1928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305</v>
      </c>
      <c r="L14" s="42" t="s">
        <v>209</v>
      </c>
      <c r="M14" s="40">
        <v>45993</v>
      </c>
      <c r="N14" s="41" t="s">
        <v>305</v>
      </c>
      <c r="O14" s="42" t="s">
        <v>209</v>
      </c>
      <c r="P14" s="40">
        <v>45995</v>
      </c>
      <c r="Q14" s="41" t="s">
        <v>305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79.2" spans="1:29">
      <c r="A15" s="30" t="s">
        <v>113</v>
      </c>
      <c r="B15" s="30" t="s">
        <v>1935</v>
      </c>
      <c r="C15" s="30" t="s">
        <v>1936</v>
      </c>
      <c r="D15" s="31" t="s">
        <v>1937</v>
      </c>
      <c r="E15" s="31" t="s">
        <v>1928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305</v>
      </c>
      <c r="L15" s="42" t="s">
        <v>209</v>
      </c>
      <c r="M15" s="40">
        <v>45993</v>
      </c>
      <c r="N15" s="41" t="s">
        <v>305</v>
      </c>
      <c r="O15" s="42" t="s">
        <v>209</v>
      </c>
      <c r="P15" s="40">
        <v>45995</v>
      </c>
      <c r="Q15" s="41" t="s">
        <v>305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66" spans="1:29">
      <c r="A16" s="30" t="s">
        <v>113</v>
      </c>
      <c r="B16" s="30" t="s">
        <v>1938</v>
      </c>
      <c r="C16" s="30" t="s">
        <v>1939</v>
      </c>
      <c r="D16" s="31" t="s">
        <v>1940</v>
      </c>
      <c r="E16" s="31" t="s">
        <v>1924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305</v>
      </c>
      <c r="L16" s="42" t="s">
        <v>209</v>
      </c>
      <c r="M16" s="40">
        <v>45993</v>
      </c>
      <c r="N16" s="41" t="s">
        <v>305</v>
      </c>
      <c r="O16" s="42" t="s">
        <v>209</v>
      </c>
      <c r="P16" s="40">
        <v>45995</v>
      </c>
      <c r="Q16" s="41" t="s">
        <v>305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66" spans="1:29">
      <c r="A17" s="30" t="s">
        <v>113</v>
      </c>
      <c r="B17" s="30" t="s">
        <v>1941</v>
      </c>
      <c r="C17" s="30" t="s">
        <v>1942</v>
      </c>
      <c r="D17" s="31" t="s">
        <v>1943</v>
      </c>
      <c r="E17" s="31" t="s">
        <v>1924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305</v>
      </c>
      <c r="L17" s="42" t="s">
        <v>209</v>
      </c>
      <c r="M17" s="40">
        <v>45993</v>
      </c>
      <c r="N17" s="41" t="s">
        <v>305</v>
      </c>
      <c r="O17" s="42" t="s">
        <v>209</v>
      </c>
      <c r="P17" s="40">
        <v>45995</v>
      </c>
      <c r="Q17" s="41" t="s">
        <v>305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79.2" spans="1:29">
      <c r="A18" s="30" t="s">
        <v>115</v>
      </c>
      <c r="B18" s="30" t="s">
        <v>1944</v>
      </c>
      <c r="C18" s="30" t="s">
        <v>1945</v>
      </c>
      <c r="D18" s="31" t="s">
        <v>1923</v>
      </c>
      <c r="E18" s="31" t="s">
        <v>1946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305</v>
      </c>
      <c r="L18" s="42" t="s">
        <v>209</v>
      </c>
      <c r="M18" s="40">
        <v>45993</v>
      </c>
      <c r="N18" s="41" t="s">
        <v>305</v>
      </c>
      <c r="O18" s="42" t="s">
        <v>209</v>
      </c>
      <c r="P18" s="40">
        <v>45995</v>
      </c>
      <c r="Q18" s="41" t="s">
        <v>305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92.4" spans="1:29">
      <c r="A19" s="30" t="s">
        <v>115</v>
      </c>
      <c r="B19" s="30" t="s">
        <v>1947</v>
      </c>
      <c r="C19" s="30" t="s">
        <v>1948</v>
      </c>
      <c r="D19" s="31" t="s">
        <v>1927</v>
      </c>
      <c r="E19" s="31" t="s">
        <v>1949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305</v>
      </c>
      <c r="L19" s="42" t="s">
        <v>209</v>
      </c>
      <c r="M19" s="40">
        <v>45993</v>
      </c>
      <c r="N19" s="41" t="s">
        <v>305</v>
      </c>
      <c r="O19" s="42" t="s">
        <v>209</v>
      </c>
      <c r="P19" s="40">
        <v>45995</v>
      </c>
      <c r="Q19" s="41" t="s">
        <v>305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92.4" spans="1:29">
      <c r="A20" s="30" t="s">
        <v>115</v>
      </c>
      <c r="B20" s="30" t="s">
        <v>1950</v>
      </c>
      <c r="C20" s="30" t="s">
        <v>1951</v>
      </c>
      <c r="D20" s="31" t="s">
        <v>1931</v>
      </c>
      <c r="E20" s="31" t="s">
        <v>1949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305</v>
      </c>
      <c r="L20" s="42" t="s">
        <v>209</v>
      </c>
      <c r="M20" s="40">
        <v>45993</v>
      </c>
      <c r="N20" s="41" t="s">
        <v>305</v>
      </c>
      <c r="O20" s="42" t="s">
        <v>209</v>
      </c>
      <c r="P20" s="40">
        <v>45995</v>
      </c>
      <c r="Q20" s="41" t="s">
        <v>305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52.8" spans="1:29">
      <c r="A21" s="30" t="s">
        <v>115</v>
      </c>
      <c r="B21" s="30" t="s">
        <v>1952</v>
      </c>
      <c r="C21" s="30" t="s">
        <v>1953</v>
      </c>
      <c r="D21" s="31" t="s">
        <v>1940</v>
      </c>
      <c r="E21" s="31" t="s">
        <v>1954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305</v>
      </c>
      <c r="L21" s="42" t="s">
        <v>209</v>
      </c>
      <c r="M21" s="40">
        <v>45993</v>
      </c>
      <c r="N21" s="41" t="s">
        <v>305</v>
      </c>
      <c r="O21" s="42" t="s">
        <v>209</v>
      </c>
      <c r="P21" s="40">
        <v>45995</v>
      </c>
      <c r="Q21" s="41" t="s">
        <v>305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79.2" spans="1:29">
      <c r="A22" s="30" t="s">
        <v>115</v>
      </c>
      <c r="B22" s="30" t="s">
        <v>1955</v>
      </c>
      <c r="C22" s="30" t="s">
        <v>1956</v>
      </c>
      <c r="D22" s="31" t="s">
        <v>1943</v>
      </c>
      <c r="E22" s="31" t="s">
        <v>1946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305</v>
      </c>
      <c r="L22" s="42" t="s">
        <v>209</v>
      </c>
      <c r="M22" s="40">
        <v>45993</v>
      </c>
      <c r="N22" s="41" t="s">
        <v>305</v>
      </c>
      <c r="O22" s="42" t="s">
        <v>209</v>
      </c>
      <c r="P22" s="40">
        <v>45995</v>
      </c>
      <c r="Q22" s="41" t="s">
        <v>305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66" outlineLevel="1" spans="1:29">
      <c r="A23" s="30" t="s">
        <v>116</v>
      </c>
      <c r="B23" s="30" t="s">
        <v>1957</v>
      </c>
      <c r="C23" s="30" t="s">
        <v>1958</v>
      </c>
      <c r="D23" s="31" t="s">
        <v>1959</v>
      </c>
      <c r="E23" s="31" t="s">
        <v>1960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305</v>
      </c>
      <c r="L23" s="42" t="s">
        <v>209</v>
      </c>
      <c r="M23" s="40">
        <v>45993</v>
      </c>
      <c r="N23" s="41" t="s">
        <v>305</v>
      </c>
      <c r="O23" s="42" t="s">
        <v>209</v>
      </c>
      <c r="P23" s="40">
        <v>45995</v>
      </c>
      <c r="Q23" s="41" t="s">
        <v>305</v>
      </c>
      <c r="R23" s="30"/>
      <c r="S23" s="52"/>
      <c r="T23" s="53"/>
      <c r="U23" s="52"/>
      <c r="V23" s="52"/>
      <c r="W23" s="52"/>
      <c r="X23" s="52"/>
      <c r="Y23" s="52"/>
      <c r="Z23" s="52"/>
      <c r="AA23" s="52"/>
      <c r="AB23" s="52"/>
      <c r="AC23" s="52"/>
    </row>
    <row r="24" ht="66" outlineLevel="1" spans="1:29">
      <c r="A24" s="30" t="s">
        <v>116</v>
      </c>
      <c r="B24" s="30" t="s">
        <v>1961</v>
      </c>
      <c r="C24" s="30" t="s">
        <v>1962</v>
      </c>
      <c r="D24" s="31" t="s">
        <v>1963</v>
      </c>
      <c r="E24" s="31" t="s">
        <v>1964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305</v>
      </c>
      <c r="L24" s="42" t="s">
        <v>209</v>
      </c>
      <c r="M24" s="40">
        <v>45993</v>
      </c>
      <c r="N24" s="41" t="s">
        <v>305</v>
      </c>
      <c r="O24" s="42" t="s">
        <v>209</v>
      </c>
      <c r="P24" s="40">
        <v>45995</v>
      </c>
      <c r="Q24" s="41" t="s">
        <v>305</v>
      </c>
      <c r="R24" s="30"/>
      <c r="S24" s="43"/>
      <c r="T24" s="53"/>
      <c r="U24" s="43"/>
      <c r="V24" s="43"/>
      <c r="W24" s="43"/>
      <c r="X24" s="43"/>
      <c r="Y24" s="43"/>
      <c r="Z24" s="43"/>
      <c r="AA24" s="43"/>
      <c r="AB24" s="43"/>
      <c r="AC24" s="43"/>
    </row>
    <row r="25" ht="66" outlineLevel="1" spans="1:29">
      <c r="A25" s="30" t="s">
        <v>116</v>
      </c>
      <c r="B25" s="30" t="s">
        <v>1965</v>
      </c>
      <c r="C25" s="30" t="s">
        <v>1966</v>
      </c>
      <c r="D25" s="31" t="s">
        <v>1967</v>
      </c>
      <c r="E25" s="31" t="s">
        <v>1964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305</v>
      </c>
      <c r="L25" s="42" t="s">
        <v>209</v>
      </c>
      <c r="M25" s="40">
        <v>45993</v>
      </c>
      <c r="N25" s="41" t="s">
        <v>305</v>
      </c>
      <c r="O25" s="42" t="s">
        <v>209</v>
      </c>
      <c r="P25" s="40">
        <v>45995</v>
      </c>
      <c r="Q25" s="41" t="s">
        <v>305</v>
      </c>
      <c r="R25" s="30"/>
      <c r="S25" s="43"/>
      <c r="T25" s="53"/>
      <c r="U25" s="43"/>
      <c r="V25" s="43"/>
      <c r="W25" s="43"/>
      <c r="X25" s="43"/>
      <c r="Y25" s="43"/>
      <c r="Z25" s="43"/>
      <c r="AA25" s="43"/>
      <c r="AB25" s="43"/>
      <c r="AC25" s="43"/>
    </row>
    <row r="26" ht="66" outlineLevel="1" spans="1:29">
      <c r="A26" s="30" t="s">
        <v>116</v>
      </c>
      <c r="B26" s="30" t="s">
        <v>1968</v>
      </c>
      <c r="C26" s="30" t="s">
        <v>1969</v>
      </c>
      <c r="D26" s="31" t="s">
        <v>1970</v>
      </c>
      <c r="E26" s="31" t="s">
        <v>1964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305</v>
      </c>
      <c r="L26" s="42" t="s">
        <v>209</v>
      </c>
      <c r="M26" s="40">
        <v>45993</v>
      </c>
      <c r="N26" s="41" t="s">
        <v>305</v>
      </c>
      <c r="O26" s="42" t="s">
        <v>209</v>
      </c>
      <c r="P26" s="40">
        <v>45995</v>
      </c>
      <c r="Q26" s="41" t="s">
        <v>305</v>
      </c>
      <c r="R26" s="30"/>
      <c r="S26" s="43"/>
      <c r="T26" s="53"/>
      <c r="U26" s="43"/>
      <c r="V26" s="43"/>
      <c r="W26" s="43"/>
      <c r="X26" s="43"/>
      <c r="Y26" s="43"/>
      <c r="Z26" s="43"/>
      <c r="AA26" s="43"/>
      <c r="AB26" s="43"/>
      <c r="AC26" s="43"/>
    </row>
    <row r="27" ht="66" outlineLevel="1" spans="1:29">
      <c r="A27" s="30" t="s">
        <v>116</v>
      </c>
      <c r="B27" s="30" t="s">
        <v>1971</v>
      </c>
      <c r="C27" s="30" t="s">
        <v>1972</v>
      </c>
      <c r="D27" s="31" t="s">
        <v>1973</v>
      </c>
      <c r="E27" s="31" t="s">
        <v>1964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305</v>
      </c>
      <c r="L27" s="42" t="s">
        <v>209</v>
      </c>
      <c r="M27" s="40">
        <v>45993</v>
      </c>
      <c r="N27" s="41" t="s">
        <v>305</v>
      </c>
      <c r="O27" s="42" t="s">
        <v>209</v>
      </c>
      <c r="P27" s="40">
        <v>45995</v>
      </c>
      <c r="Q27" s="41" t="s">
        <v>305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132" outlineLevel="1" spans="1:29">
      <c r="A28" s="30" t="s">
        <v>119</v>
      </c>
      <c r="B28" s="30" t="s">
        <v>1974</v>
      </c>
      <c r="C28" s="30" t="s">
        <v>1975</v>
      </c>
      <c r="D28" s="31" t="s">
        <v>1976</v>
      </c>
      <c r="E28" s="31" t="s">
        <v>1977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305</v>
      </c>
      <c r="L28" s="42" t="s">
        <v>209</v>
      </c>
      <c r="M28" s="40">
        <v>45993</v>
      </c>
      <c r="N28" s="41" t="s">
        <v>305</v>
      </c>
      <c r="O28" s="42" t="s">
        <v>209</v>
      </c>
      <c r="P28" s="40">
        <v>45995</v>
      </c>
      <c r="Q28" s="41" t="s">
        <v>305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105.6" outlineLevel="1" spans="1:29">
      <c r="A29" s="30" t="s">
        <v>119</v>
      </c>
      <c r="B29" s="30" t="s">
        <v>1978</v>
      </c>
      <c r="C29" s="30" t="s">
        <v>1979</v>
      </c>
      <c r="D29" s="31" t="s">
        <v>1980</v>
      </c>
      <c r="E29" s="31" t="s">
        <v>1981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305</v>
      </c>
      <c r="L29" s="42" t="s">
        <v>209</v>
      </c>
      <c r="M29" s="40">
        <v>45993</v>
      </c>
      <c r="N29" s="41" t="s">
        <v>305</v>
      </c>
      <c r="O29" s="42" t="s">
        <v>209</v>
      </c>
      <c r="P29" s="40">
        <v>45995</v>
      </c>
      <c r="Q29" s="41" t="s">
        <v>305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105.6" outlineLevel="1" spans="1:29">
      <c r="A30" s="30" t="s">
        <v>119</v>
      </c>
      <c r="B30" s="30" t="s">
        <v>1982</v>
      </c>
      <c r="C30" s="30" t="s">
        <v>1983</v>
      </c>
      <c r="D30" s="31" t="s">
        <v>1984</v>
      </c>
      <c r="E30" s="31" t="s">
        <v>1985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305</v>
      </c>
      <c r="L30" s="42" t="s">
        <v>209</v>
      </c>
      <c r="M30" s="40">
        <v>45993</v>
      </c>
      <c r="N30" s="41" t="s">
        <v>305</v>
      </c>
      <c r="O30" s="42" t="s">
        <v>209</v>
      </c>
      <c r="P30" s="40">
        <v>45995</v>
      </c>
      <c r="Q30" s="41" t="s">
        <v>305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105.6" outlineLevel="1" spans="1:29">
      <c r="A31" s="30" t="s">
        <v>119</v>
      </c>
      <c r="B31" s="30" t="s">
        <v>1986</v>
      </c>
      <c r="C31" s="30" t="s">
        <v>1987</v>
      </c>
      <c r="D31" s="31" t="s">
        <v>1988</v>
      </c>
      <c r="E31" s="31" t="s">
        <v>1989</v>
      </c>
      <c r="F31" s="30" t="s">
        <v>237</v>
      </c>
      <c r="G31" s="32" t="s">
        <v>209</v>
      </c>
      <c r="H31" s="33"/>
      <c r="I31" s="33"/>
      <c r="J31" s="40">
        <v>45991</v>
      </c>
      <c r="K31" s="41" t="s">
        <v>305</v>
      </c>
      <c r="L31" s="42" t="s">
        <v>209</v>
      </c>
      <c r="M31" s="40">
        <v>45993</v>
      </c>
      <c r="N31" s="41" t="s">
        <v>305</v>
      </c>
      <c r="O31" s="42" t="s">
        <v>209</v>
      </c>
      <c r="P31" s="40">
        <v>45995</v>
      </c>
      <c r="Q31" s="41" t="s">
        <v>305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105.6" outlineLevel="1" spans="1:29">
      <c r="A32" s="30" t="s">
        <v>119</v>
      </c>
      <c r="B32" s="30" t="s">
        <v>1990</v>
      </c>
      <c r="C32" s="30" t="s">
        <v>1991</v>
      </c>
      <c r="D32" s="31" t="s">
        <v>1992</v>
      </c>
      <c r="E32" s="31" t="s">
        <v>1993</v>
      </c>
      <c r="F32" s="30" t="s">
        <v>237</v>
      </c>
      <c r="G32" s="32" t="s">
        <v>209</v>
      </c>
      <c r="H32" s="33"/>
      <c r="I32" s="33"/>
      <c r="J32" s="40">
        <v>45991</v>
      </c>
      <c r="K32" s="41" t="s">
        <v>305</v>
      </c>
      <c r="L32" s="42" t="s">
        <v>209</v>
      </c>
      <c r="M32" s="40">
        <v>45993</v>
      </c>
      <c r="N32" s="41" t="s">
        <v>305</v>
      </c>
      <c r="O32" s="42" t="s">
        <v>209</v>
      </c>
      <c r="P32" s="40">
        <v>45995</v>
      </c>
      <c r="Q32" s="41" t="s">
        <v>305</v>
      </c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105.6" outlineLevel="1" spans="1:29">
      <c r="A33" s="30" t="s">
        <v>119</v>
      </c>
      <c r="B33" s="30" t="s">
        <v>1994</v>
      </c>
      <c r="C33" s="30" t="s">
        <v>1995</v>
      </c>
      <c r="D33" s="31" t="s">
        <v>1996</v>
      </c>
      <c r="E33" s="31" t="s">
        <v>1997</v>
      </c>
      <c r="F33" s="30" t="s">
        <v>237</v>
      </c>
      <c r="G33" s="32" t="s">
        <v>209</v>
      </c>
      <c r="H33" s="33"/>
      <c r="I33" s="33"/>
      <c r="J33" s="40">
        <v>45991</v>
      </c>
      <c r="K33" s="41" t="s">
        <v>305</v>
      </c>
      <c r="L33" s="42" t="s">
        <v>209</v>
      </c>
      <c r="M33" s="40">
        <v>45993</v>
      </c>
      <c r="N33" s="41" t="s">
        <v>305</v>
      </c>
      <c r="O33" s="42" t="s">
        <v>209</v>
      </c>
      <c r="P33" s="40">
        <v>45995</v>
      </c>
      <c r="Q33" s="41" t="s">
        <v>305</v>
      </c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105.6" outlineLevel="1" spans="1:29">
      <c r="A34" s="30" t="s">
        <v>119</v>
      </c>
      <c r="B34" s="30" t="s">
        <v>1998</v>
      </c>
      <c r="C34" s="30" t="s">
        <v>1999</v>
      </c>
      <c r="D34" s="31" t="s">
        <v>2000</v>
      </c>
      <c r="E34" s="31" t="s">
        <v>1977</v>
      </c>
      <c r="F34" s="30" t="s">
        <v>237</v>
      </c>
      <c r="G34" s="32" t="s">
        <v>209</v>
      </c>
      <c r="H34" s="33"/>
      <c r="I34" s="33"/>
      <c r="J34" s="40">
        <v>45991</v>
      </c>
      <c r="K34" s="41" t="s">
        <v>305</v>
      </c>
      <c r="L34" s="42" t="s">
        <v>209</v>
      </c>
      <c r="M34" s="40">
        <v>45993</v>
      </c>
      <c r="N34" s="41" t="s">
        <v>305</v>
      </c>
      <c r="O34" s="42" t="s">
        <v>209</v>
      </c>
      <c r="P34" s="40">
        <v>45995</v>
      </c>
      <c r="Q34" s="41" t="s">
        <v>305</v>
      </c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118.8" outlineLevel="1" spans="1:29">
      <c r="A35" s="30" t="s">
        <v>119</v>
      </c>
      <c r="B35" s="30" t="s">
        <v>2001</v>
      </c>
      <c r="C35" s="30" t="s">
        <v>2002</v>
      </c>
      <c r="D35" s="31" t="s">
        <v>2003</v>
      </c>
      <c r="E35" s="31" t="s">
        <v>1977</v>
      </c>
      <c r="F35" s="30" t="s">
        <v>237</v>
      </c>
      <c r="G35" s="32" t="s">
        <v>209</v>
      </c>
      <c r="H35" s="33"/>
      <c r="I35" s="33"/>
      <c r="J35" s="40">
        <v>45991</v>
      </c>
      <c r="K35" s="41" t="s">
        <v>305</v>
      </c>
      <c r="L35" s="42" t="s">
        <v>209</v>
      </c>
      <c r="M35" s="40">
        <v>45993</v>
      </c>
      <c r="N35" s="41" t="s">
        <v>305</v>
      </c>
      <c r="O35" s="42" t="s">
        <v>209</v>
      </c>
      <c r="P35" s="40">
        <v>45995</v>
      </c>
      <c r="Q35" s="41" t="s">
        <v>305</v>
      </c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05.6" outlineLevel="1" spans="1:29">
      <c r="A36" s="30" t="s">
        <v>119</v>
      </c>
      <c r="B36" s="30" t="s">
        <v>2004</v>
      </c>
      <c r="C36" s="30" t="s">
        <v>2005</v>
      </c>
      <c r="D36" s="31" t="s">
        <v>2006</v>
      </c>
      <c r="E36" s="31" t="s">
        <v>2007</v>
      </c>
      <c r="F36" s="30" t="s">
        <v>237</v>
      </c>
      <c r="G36" s="32" t="s">
        <v>209</v>
      </c>
      <c r="H36" s="33"/>
      <c r="I36" s="33"/>
      <c r="J36" s="40">
        <v>45991</v>
      </c>
      <c r="K36" s="41" t="s">
        <v>305</v>
      </c>
      <c r="L36" s="42" t="s">
        <v>209</v>
      </c>
      <c r="M36" s="40">
        <v>45993</v>
      </c>
      <c r="N36" s="41" t="s">
        <v>305</v>
      </c>
      <c r="O36" s="42" t="s">
        <v>209</v>
      </c>
      <c r="P36" s="40">
        <v>45995</v>
      </c>
      <c r="Q36" s="41" t="s">
        <v>305</v>
      </c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105.6" outlineLevel="1" spans="1:29">
      <c r="A37" s="30" t="s">
        <v>119</v>
      </c>
      <c r="B37" s="30" t="s">
        <v>2008</v>
      </c>
      <c r="C37" s="30" t="s">
        <v>2009</v>
      </c>
      <c r="D37" s="31" t="s">
        <v>2010</v>
      </c>
      <c r="E37" s="31" t="s">
        <v>2011</v>
      </c>
      <c r="F37" s="30" t="s">
        <v>237</v>
      </c>
      <c r="G37" s="32" t="s">
        <v>209</v>
      </c>
      <c r="H37" s="33"/>
      <c r="I37" s="33"/>
      <c r="J37" s="40">
        <v>45991</v>
      </c>
      <c r="K37" s="41" t="s">
        <v>305</v>
      </c>
      <c r="L37" s="42" t="s">
        <v>209</v>
      </c>
      <c r="M37" s="40">
        <v>45993</v>
      </c>
      <c r="N37" s="41" t="s">
        <v>305</v>
      </c>
      <c r="O37" s="42" t="s">
        <v>209</v>
      </c>
      <c r="P37" s="40">
        <v>45995</v>
      </c>
      <c r="Q37" s="41" t="s">
        <v>305</v>
      </c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118.8" outlineLevel="1" spans="1:29">
      <c r="A38" s="30" t="s">
        <v>119</v>
      </c>
      <c r="B38" s="30" t="s">
        <v>2012</v>
      </c>
      <c r="C38" s="30" t="s">
        <v>2013</v>
      </c>
      <c r="D38" s="31" t="s">
        <v>2014</v>
      </c>
      <c r="E38" s="31" t="s">
        <v>1977</v>
      </c>
      <c r="F38" s="30" t="s">
        <v>237</v>
      </c>
      <c r="G38" s="32" t="s">
        <v>209</v>
      </c>
      <c r="H38" s="33"/>
      <c r="I38" s="33"/>
      <c r="J38" s="40">
        <v>45991</v>
      </c>
      <c r="K38" s="41" t="s">
        <v>305</v>
      </c>
      <c r="L38" s="42" t="s">
        <v>209</v>
      </c>
      <c r="M38" s="40">
        <v>45993</v>
      </c>
      <c r="N38" s="41" t="s">
        <v>305</v>
      </c>
      <c r="O38" s="42" t="s">
        <v>209</v>
      </c>
      <c r="P38" s="40">
        <v>45995</v>
      </c>
      <c r="Q38" s="41" t="s">
        <v>305</v>
      </c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2" outlineLevel="1" spans="1:29">
      <c r="A39" s="30" t="s">
        <v>119</v>
      </c>
      <c r="B39" s="30" t="s">
        <v>2015</v>
      </c>
      <c r="C39" s="30" t="s">
        <v>2016</v>
      </c>
      <c r="D39" s="31" t="s">
        <v>2017</v>
      </c>
      <c r="E39" s="31" t="s">
        <v>2018</v>
      </c>
      <c r="F39" s="30" t="s">
        <v>237</v>
      </c>
      <c r="G39" s="32" t="s">
        <v>209</v>
      </c>
      <c r="H39" s="33"/>
      <c r="I39" s="33"/>
      <c r="J39" s="40">
        <v>45991</v>
      </c>
      <c r="K39" s="41" t="s">
        <v>305</v>
      </c>
      <c r="L39" s="42" t="s">
        <v>209</v>
      </c>
      <c r="M39" s="40">
        <v>45993</v>
      </c>
      <c r="N39" s="41" t="s">
        <v>305</v>
      </c>
      <c r="O39" s="42" t="s">
        <v>209</v>
      </c>
      <c r="P39" s="40">
        <v>45995</v>
      </c>
      <c r="Q39" s="41" t="s">
        <v>305</v>
      </c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18.8" spans="1:29">
      <c r="A40" s="30" t="s">
        <v>117</v>
      </c>
      <c r="B40" s="30" t="s">
        <v>2019</v>
      </c>
      <c r="C40" s="30" t="s">
        <v>2020</v>
      </c>
      <c r="D40" s="31" t="s">
        <v>2021</v>
      </c>
      <c r="E40" s="31" t="s">
        <v>2022</v>
      </c>
      <c r="F40" s="30" t="s">
        <v>237</v>
      </c>
      <c r="G40" s="32" t="s">
        <v>209</v>
      </c>
      <c r="H40" s="33"/>
      <c r="I40" s="33"/>
      <c r="J40" s="40">
        <v>45991</v>
      </c>
      <c r="K40" s="41" t="s">
        <v>305</v>
      </c>
      <c r="L40" s="42" t="s">
        <v>209</v>
      </c>
      <c r="M40" s="40">
        <v>45993</v>
      </c>
      <c r="N40" s="41" t="s">
        <v>305</v>
      </c>
      <c r="O40" s="42" t="s">
        <v>209</v>
      </c>
      <c r="P40" s="40">
        <v>45995</v>
      </c>
      <c r="Q40" s="41" t="s">
        <v>305</v>
      </c>
      <c r="R40" s="30"/>
      <c r="S40" s="47"/>
      <c r="T40" s="51"/>
      <c r="U40" s="47"/>
      <c r="V40" s="47"/>
      <c r="W40" s="47"/>
      <c r="X40" s="47"/>
      <c r="Y40" s="47"/>
      <c r="Z40" s="47"/>
      <c r="AA40" s="47"/>
      <c r="AB40" s="47"/>
      <c r="AC40" s="47"/>
    </row>
    <row r="41" ht="118.8" spans="1:29">
      <c r="A41" s="30" t="s">
        <v>117</v>
      </c>
      <c r="B41" s="30" t="s">
        <v>2023</v>
      </c>
      <c r="C41" s="30" t="s">
        <v>2024</v>
      </c>
      <c r="D41" s="31" t="s">
        <v>2025</v>
      </c>
      <c r="E41" s="31" t="s">
        <v>2026</v>
      </c>
      <c r="F41" s="30" t="s">
        <v>237</v>
      </c>
      <c r="G41" s="32" t="s">
        <v>209</v>
      </c>
      <c r="H41" s="33"/>
      <c r="I41" s="33"/>
      <c r="J41" s="40">
        <v>45991</v>
      </c>
      <c r="K41" s="41" t="s">
        <v>305</v>
      </c>
      <c r="L41" s="42" t="s">
        <v>209</v>
      </c>
      <c r="M41" s="40">
        <v>45993</v>
      </c>
      <c r="N41" s="41" t="s">
        <v>305</v>
      </c>
      <c r="O41" s="42" t="s">
        <v>209</v>
      </c>
      <c r="P41" s="40">
        <v>45995</v>
      </c>
      <c r="Q41" s="41" t="s">
        <v>305</v>
      </c>
      <c r="R41" s="30"/>
      <c r="S41" s="54"/>
      <c r="T41" s="55"/>
      <c r="U41" s="54"/>
      <c r="V41" s="54"/>
      <c r="W41" s="54"/>
      <c r="X41" s="54"/>
      <c r="Y41" s="54"/>
      <c r="Z41" s="54"/>
      <c r="AA41" s="54"/>
      <c r="AB41" s="54"/>
      <c r="AC41" s="54"/>
    </row>
    <row r="42" ht="118.8" spans="1:29">
      <c r="A42" s="30" t="s">
        <v>117</v>
      </c>
      <c r="B42" s="30" t="s">
        <v>2027</v>
      </c>
      <c r="C42" s="30" t="s">
        <v>2028</v>
      </c>
      <c r="D42" s="31" t="s">
        <v>2029</v>
      </c>
      <c r="E42" s="31" t="s">
        <v>2026</v>
      </c>
      <c r="F42" s="30" t="s">
        <v>237</v>
      </c>
      <c r="G42" s="32" t="s">
        <v>209</v>
      </c>
      <c r="H42" s="33"/>
      <c r="I42" s="33"/>
      <c r="J42" s="40">
        <v>45991</v>
      </c>
      <c r="K42" s="41" t="s">
        <v>305</v>
      </c>
      <c r="L42" s="42" t="s">
        <v>209</v>
      </c>
      <c r="M42" s="40">
        <v>45993</v>
      </c>
      <c r="N42" s="41" t="s">
        <v>305</v>
      </c>
      <c r="O42" s="42" t="s">
        <v>209</v>
      </c>
      <c r="P42" s="40">
        <v>45995</v>
      </c>
      <c r="Q42" s="41" t="s">
        <v>305</v>
      </c>
      <c r="R42" s="30"/>
      <c r="S42" s="54"/>
      <c r="T42" s="55"/>
      <c r="U42" s="54"/>
      <c r="V42" s="54"/>
      <c r="W42" s="54"/>
      <c r="X42" s="54"/>
      <c r="Y42" s="54"/>
      <c r="Z42" s="54"/>
      <c r="AA42" s="54"/>
      <c r="AB42" s="54"/>
      <c r="AC42" s="54"/>
    </row>
    <row r="43" ht="118.8" outlineLevel="1" spans="1:29">
      <c r="A43" s="30" t="s">
        <v>117</v>
      </c>
      <c r="B43" s="30" t="s">
        <v>2030</v>
      </c>
      <c r="C43" s="30" t="s">
        <v>2031</v>
      </c>
      <c r="D43" s="31" t="s">
        <v>2032</v>
      </c>
      <c r="E43" s="31" t="s">
        <v>1981</v>
      </c>
      <c r="F43" s="30" t="s">
        <v>237</v>
      </c>
      <c r="G43" s="32" t="s">
        <v>209</v>
      </c>
      <c r="H43" s="33"/>
      <c r="I43" s="33"/>
      <c r="J43" s="40">
        <v>45991</v>
      </c>
      <c r="K43" s="41" t="s">
        <v>305</v>
      </c>
      <c r="L43" s="42" t="s">
        <v>209</v>
      </c>
      <c r="M43" s="40">
        <v>45993</v>
      </c>
      <c r="N43" s="41" t="s">
        <v>305</v>
      </c>
      <c r="O43" s="42" t="s">
        <v>209</v>
      </c>
      <c r="P43" s="40">
        <v>45995</v>
      </c>
      <c r="Q43" s="41" t="s">
        <v>305</v>
      </c>
      <c r="R43" s="30"/>
      <c r="S43" s="37"/>
      <c r="T43" s="56"/>
      <c r="U43" s="37"/>
      <c r="V43" s="37"/>
      <c r="W43" s="37"/>
      <c r="X43" s="37"/>
      <c r="Y43" s="37"/>
      <c r="Z43" s="37"/>
      <c r="AA43" s="37"/>
      <c r="AB43" s="37"/>
      <c r="AC43" s="37"/>
    </row>
    <row r="44" ht="118.8" outlineLevel="1" spans="1:29">
      <c r="A44" s="30" t="s">
        <v>117</v>
      </c>
      <c r="B44" s="30" t="s">
        <v>2033</v>
      </c>
      <c r="C44" s="30" t="s">
        <v>2034</v>
      </c>
      <c r="D44" s="31" t="s">
        <v>2035</v>
      </c>
      <c r="E44" s="31" t="s">
        <v>2007</v>
      </c>
      <c r="F44" s="30" t="s">
        <v>237</v>
      </c>
      <c r="G44" s="32" t="s">
        <v>209</v>
      </c>
      <c r="H44" s="33"/>
      <c r="I44" s="33"/>
      <c r="J44" s="40">
        <v>45991</v>
      </c>
      <c r="K44" s="41" t="s">
        <v>305</v>
      </c>
      <c r="L44" s="42" t="s">
        <v>209</v>
      </c>
      <c r="M44" s="40">
        <v>45993</v>
      </c>
      <c r="N44" s="41" t="s">
        <v>305</v>
      </c>
      <c r="O44" s="42" t="s">
        <v>209</v>
      </c>
      <c r="P44" s="40">
        <v>45995</v>
      </c>
      <c r="Q44" s="41" t="s">
        <v>305</v>
      </c>
      <c r="R44" s="30"/>
      <c r="S44" s="37"/>
      <c r="T44" s="56"/>
      <c r="U44" s="37"/>
      <c r="V44" s="37"/>
      <c r="W44" s="37"/>
      <c r="X44" s="37"/>
      <c r="Y44" s="37"/>
      <c r="Z44" s="37"/>
      <c r="AA44" s="37"/>
      <c r="AB44" s="37"/>
      <c r="AC44" s="37"/>
    </row>
    <row r="45" ht="64.5" customHeight="1" outlineLevel="1" spans="1:29">
      <c r="A45" s="30" t="s">
        <v>117</v>
      </c>
      <c r="B45" s="30" t="s">
        <v>2036</v>
      </c>
      <c r="C45" s="30" t="s">
        <v>2037</v>
      </c>
      <c r="D45" s="31" t="s">
        <v>2038</v>
      </c>
      <c r="E45" s="31" t="s">
        <v>1997</v>
      </c>
      <c r="F45" s="30" t="s">
        <v>237</v>
      </c>
      <c r="G45" s="32" t="s">
        <v>209</v>
      </c>
      <c r="H45" s="33"/>
      <c r="I45" s="33"/>
      <c r="J45" s="40">
        <v>45991</v>
      </c>
      <c r="K45" s="41" t="s">
        <v>305</v>
      </c>
      <c r="L45" s="42" t="s">
        <v>209</v>
      </c>
      <c r="M45" s="40">
        <v>45993</v>
      </c>
      <c r="N45" s="41" t="s">
        <v>305</v>
      </c>
      <c r="O45" s="42" t="s">
        <v>209</v>
      </c>
      <c r="P45" s="40">
        <v>45995</v>
      </c>
      <c r="Q45" s="41" t="s">
        <v>305</v>
      </c>
      <c r="R45" s="30"/>
      <c r="S45" s="37"/>
      <c r="T45" s="57"/>
      <c r="U45" s="37"/>
      <c r="V45" s="37"/>
      <c r="W45" s="37"/>
      <c r="X45" s="37"/>
      <c r="Y45" s="37"/>
      <c r="Z45" s="37"/>
      <c r="AA45" s="37"/>
      <c r="AB45" s="37"/>
      <c r="AC45" s="37"/>
    </row>
    <row r="46" ht="64.5" customHeight="1" spans="1:29">
      <c r="A46" s="30" t="s">
        <v>117</v>
      </c>
      <c r="B46" s="30" t="s">
        <v>2039</v>
      </c>
      <c r="C46" s="30" t="s">
        <v>2040</v>
      </c>
      <c r="D46" s="31" t="s">
        <v>2041</v>
      </c>
      <c r="E46" s="31" t="s">
        <v>2022</v>
      </c>
      <c r="F46" s="30" t="s">
        <v>237</v>
      </c>
      <c r="G46" s="32" t="s">
        <v>209</v>
      </c>
      <c r="H46" s="33"/>
      <c r="I46" s="33"/>
      <c r="J46" s="40">
        <v>45991</v>
      </c>
      <c r="K46" s="41" t="s">
        <v>305</v>
      </c>
      <c r="L46" s="42" t="s">
        <v>209</v>
      </c>
      <c r="M46" s="40">
        <v>45993</v>
      </c>
      <c r="N46" s="41" t="s">
        <v>305</v>
      </c>
      <c r="O46" s="42" t="s">
        <v>209</v>
      </c>
      <c r="P46" s="40">
        <v>45995</v>
      </c>
      <c r="Q46" s="41" t="s">
        <v>305</v>
      </c>
      <c r="R46" s="30"/>
      <c r="S46" s="54"/>
      <c r="T46" s="55"/>
      <c r="U46" s="54"/>
      <c r="V46" s="54"/>
      <c r="W46" s="54"/>
      <c r="X46" s="54"/>
      <c r="Y46" s="54"/>
      <c r="Z46" s="54"/>
      <c r="AA46" s="54"/>
      <c r="AB46" s="54"/>
      <c r="AC46" s="54"/>
    </row>
    <row r="47" ht="64.5" customHeight="1" outlineLevel="1" spans="1:29">
      <c r="A47" s="30" t="s">
        <v>117</v>
      </c>
      <c r="B47" s="30" t="s">
        <v>2042</v>
      </c>
      <c r="C47" s="30" t="s">
        <v>2043</v>
      </c>
      <c r="D47" s="31" t="s">
        <v>2044</v>
      </c>
      <c r="E47" s="31" t="s">
        <v>2022</v>
      </c>
      <c r="F47" s="30" t="s">
        <v>237</v>
      </c>
      <c r="G47" s="32" t="s">
        <v>209</v>
      </c>
      <c r="H47" s="33"/>
      <c r="I47" s="33"/>
      <c r="J47" s="40">
        <v>45991</v>
      </c>
      <c r="K47" s="41" t="s">
        <v>305</v>
      </c>
      <c r="L47" s="42" t="s">
        <v>209</v>
      </c>
      <c r="M47" s="40">
        <v>45993</v>
      </c>
      <c r="N47" s="41" t="s">
        <v>305</v>
      </c>
      <c r="O47" s="42" t="s">
        <v>209</v>
      </c>
      <c r="P47" s="40">
        <v>45995</v>
      </c>
      <c r="Q47" s="41" t="s">
        <v>305</v>
      </c>
      <c r="R47" s="30"/>
      <c r="S47" s="37"/>
      <c r="T47" s="56"/>
      <c r="U47" s="37"/>
      <c r="V47" s="37"/>
      <c r="W47" s="37"/>
      <c r="X47" s="37"/>
      <c r="Y47" s="37"/>
      <c r="Z47" s="37"/>
      <c r="AA47" s="37"/>
      <c r="AB47" s="37"/>
      <c r="AC47" s="37"/>
    </row>
    <row r="48" ht="64.5" customHeight="1" spans="1:29">
      <c r="A48" s="30" t="s">
        <v>117</v>
      </c>
      <c r="B48" s="30" t="s">
        <v>2045</v>
      </c>
      <c r="C48" s="30" t="s">
        <v>2046</v>
      </c>
      <c r="D48" s="31" t="s">
        <v>2047</v>
      </c>
      <c r="E48" s="31" t="s">
        <v>2022</v>
      </c>
      <c r="F48" s="30" t="s">
        <v>237</v>
      </c>
      <c r="G48" s="32" t="s">
        <v>209</v>
      </c>
      <c r="H48" s="33"/>
      <c r="I48" s="33"/>
      <c r="J48" s="40">
        <v>45991</v>
      </c>
      <c r="K48" s="41" t="s">
        <v>305</v>
      </c>
      <c r="L48" s="42" t="s">
        <v>209</v>
      </c>
      <c r="M48" s="40">
        <v>45993</v>
      </c>
      <c r="N48" s="41" t="s">
        <v>305</v>
      </c>
      <c r="O48" s="42" t="s">
        <v>209</v>
      </c>
      <c r="P48" s="40">
        <v>45995</v>
      </c>
      <c r="Q48" s="41" t="s">
        <v>305</v>
      </c>
      <c r="R48" s="30"/>
      <c r="S48" s="37"/>
      <c r="T48" s="57"/>
      <c r="U48" s="37"/>
      <c r="V48" s="37"/>
      <c r="W48" s="37"/>
      <c r="X48" s="37"/>
      <c r="Y48" s="37"/>
      <c r="Z48" s="37"/>
      <c r="AA48" s="37"/>
      <c r="AB48" s="37"/>
      <c r="AC48" s="37"/>
    </row>
    <row r="49" ht="50.25" customHeight="1" spans="1:29">
      <c r="A49" s="30" t="s">
        <v>117</v>
      </c>
      <c r="B49" s="30" t="s">
        <v>2048</v>
      </c>
      <c r="C49" s="30" t="s">
        <v>2049</v>
      </c>
      <c r="D49" s="31" t="s">
        <v>2050</v>
      </c>
      <c r="E49" s="31" t="s">
        <v>2018</v>
      </c>
      <c r="F49" s="30" t="s">
        <v>237</v>
      </c>
      <c r="G49" s="32" t="s">
        <v>209</v>
      </c>
      <c r="H49" s="33"/>
      <c r="I49" s="33"/>
      <c r="J49" s="40">
        <v>45991</v>
      </c>
      <c r="K49" s="41" t="s">
        <v>305</v>
      </c>
      <c r="L49" s="42" t="s">
        <v>209</v>
      </c>
      <c r="M49" s="40">
        <v>45993</v>
      </c>
      <c r="N49" s="41" t="s">
        <v>305</v>
      </c>
      <c r="O49" s="42" t="s">
        <v>209</v>
      </c>
      <c r="P49" s="40">
        <v>45995</v>
      </c>
      <c r="Q49" s="41" t="s">
        <v>305</v>
      </c>
      <c r="R49" s="30"/>
      <c r="S49" s="43"/>
      <c r="T49" s="44"/>
      <c r="U49" s="43"/>
      <c r="V49" s="43"/>
      <c r="W49" s="43"/>
      <c r="X49" s="43"/>
      <c r="Y49" s="43"/>
      <c r="Z49" s="43"/>
      <c r="AA49" s="43"/>
      <c r="AB49" s="43"/>
      <c r="AC49" s="43"/>
    </row>
    <row r="50" ht="86.25" customHeight="1" spans="1:29">
      <c r="A50" s="30" t="s">
        <v>118</v>
      </c>
      <c r="B50" s="30" t="s">
        <v>2051</v>
      </c>
      <c r="C50" s="30" t="s">
        <v>2052</v>
      </c>
      <c r="D50" s="31" t="s">
        <v>1959</v>
      </c>
      <c r="E50" s="31" t="s">
        <v>2053</v>
      </c>
      <c r="F50" s="30" t="s">
        <v>237</v>
      </c>
      <c r="G50" s="32" t="s">
        <v>209</v>
      </c>
      <c r="H50" s="33"/>
      <c r="I50" s="33"/>
      <c r="J50" s="40">
        <v>45991</v>
      </c>
      <c r="K50" s="41" t="s">
        <v>305</v>
      </c>
      <c r="L50" s="42" t="s">
        <v>209</v>
      </c>
      <c r="M50" s="40">
        <v>45993</v>
      </c>
      <c r="N50" s="41" t="s">
        <v>305</v>
      </c>
      <c r="O50" s="42" t="s">
        <v>209</v>
      </c>
      <c r="P50" s="40">
        <v>45995</v>
      </c>
      <c r="Q50" s="41" t="s">
        <v>305</v>
      </c>
      <c r="R50" s="30"/>
      <c r="S50" s="43"/>
      <c r="T50" s="44"/>
      <c r="U50" s="43"/>
      <c r="V50" s="43"/>
      <c r="W50" s="43"/>
      <c r="X50" s="43"/>
      <c r="Y50" s="43"/>
      <c r="Z50" s="43"/>
      <c r="AA50" s="43"/>
      <c r="AB50" s="43"/>
      <c r="AC50" s="43"/>
    </row>
    <row r="51" ht="54" customHeight="1" spans="1:29">
      <c r="A51" s="30" t="s">
        <v>118</v>
      </c>
      <c r="B51" s="30" t="s">
        <v>2054</v>
      </c>
      <c r="C51" s="30" t="s">
        <v>2055</v>
      </c>
      <c r="D51" s="31" t="s">
        <v>1963</v>
      </c>
      <c r="E51" s="31" t="s">
        <v>1964</v>
      </c>
      <c r="F51" s="30" t="s">
        <v>237</v>
      </c>
      <c r="G51" s="32" t="s">
        <v>209</v>
      </c>
      <c r="H51" s="33"/>
      <c r="I51" s="33"/>
      <c r="J51" s="40">
        <v>45991</v>
      </c>
      <c r="K51" s="41" t="s">
        <v>305</v>
      </c>
      <c r="L51" s="42" t="s">
        <v>209</v>
      </c>
      <c r="M51" s="40">
        <v>45993</v>
      </c>
      <c r="N51" s="41" t="s">
        <v>305</v>
      </c>
      <c r="O51" s="42" t="s">
        <v>209</v>
      </c>
      <c r="P51" s="40">
        <v>45995</v>
      </c>
      <c r="Q51" s="41" t="s">
        <v>305</v>
      </c>
      <c r="R51" s="30"/>
      <c r="S51" s="43"/>
      <c r="T51" s="44"/>
      <c r="U51" s="43"/>
      <c r="V51" s="43"/>
      <c r="W51" s="43"/>
      <c r="X51" s="43"/>
      <c r="Y51" s="43"/>
      <c r="Z51" s="43"/>
      <c r="AA51" s="43"/>
      <c r="AB51" s="43"/>
      <c r="AC51" s="43"/>
    </row>
    <row r="52" ht="63" customHeight="1" spans="1:29">
      <c r="A52" s="30" t="s">
        <v>118</v>
      </c>
      <c r="B52" s="30" t="s">
        <v>2056</v>
      </c>
      <c r="C52" s="30" t="s">
        <v>2057</v>
      </c>
      <c r="D52" s="31" t="s">
        <v>1967</v>
      </c>
      <c r="E52" s="31" t="s">
        <v>1964</v>
      </c>
      <c r="F52" s="30" t="s">
        <v>237</v>
      </c>
      <c r="G52" s="32" t="s">
        <v>209</v>
      </c>
      <c r="H52" s="33"/>
      <c r="I52" s="33"/>
      <c r="J52" s="40">
        <v>45991</v>
      </c>
      <c r="K52" s="41" t="s">
        <v>305</v>
      </c>
      <c r="L52" s="42" t="s">
        <v>209</v>
      </c>
      <c r="M52" s="40">
        <v>45993</v>
      </c>
      <c r="N52" s="41" t="s">
        <v>305</v>
      </c>
      <c r="O52" s="42" t="s">
        <v>209</v>
      </c>
      <c r="P52" s="40">
        <v>45995</v>
      </c>
      <c r="Q52" s="41" t="s">
        <v>305</v>
      </c>
      <c r="R52" s="30"/>
      <c r="S52" s="43"/>
      <c r="T52" s="44"/>
      <c r="U52" s="43"/>
      <c r="V52" s="43"/>
      <c r="W52" s="43"/>
      <c r="X52" s="43"/>
      <c r="Y52" s="43"/>
      <c r="Z52" s="43"/>
      <c r="AA52" s="43"/>
      <c r="AB52" s="43"/>
      <c r="AC52" s="43"/>
    </row>
    <row r="53" ht="78.75" customHeight="1" spans="1:29">
      <c r="A53" s="30" t="s">
        <v>118</v>
      </c>
      <c r="B53" s="30" t="s">
        <v>2058</v>
      </c>
      <c r="C53" s="30" t="s">
        <v>2059</v>
      </c>
      <c r="D53" s="31" t="s">
        <v>1970</v>
      </c>
      <c r="E53" s="31" t="s">
        <v>1964</v>
      </c>
      <c r="F53" s="30" t="s">
        <v>237</v>
      </c>
      <c r="G53" s="32" t="s">
        <v>209</v>
      </c>
      <c r="H53" s="33"/>
      <c r="I53" s="33"/>
      <c r="J53" s="40">
        <v>45991</v>
      </c>
      <c r="K53" s="41" t="s">
        <v>305</v>
      </c>
      <c r="L53" s="42" t="s">
        <v>209</v>
      </c>
      <c r="M53" s="40">
        <v>45993</v>
      </c>
      <c r="N53" s="41" t="s">
        <v>305</v>
      </c>
      <c r="O53" s="42" t="s">
        <v>209</v>
      </c>
      <c r="P53" s="40">
        <v>45995</v>
      </c>
      <c r="Q53" s="41" t="s">
        <v>305</v>
      </c>
      <c r="R53" s="30"/>
      <c r="S53" s="43"/>
      <c r="T53" s="44"/>
      <c r="U53" s="43"/>
      <c r="V53" s="43"/>
      <c r="W53" s="43"/>
      <c r="X53" s="43"/>
      <c r="Y53" s="43"/>
      <c r="Z53" s="43"/>
      <c r="AA53" s="43"/>
      <c r="AB53" s="43"/>
      <c r="AC53" s="43"/>
    </row>
    <row r="54" ht="56.25" customHeight="1" spans="1:29">
      <c r="A54" s="30" t="s">
        <v>118</v>
      </c>
      <c r="B54" s="30" t="s">
        <v>2060</v>
      </c>
      <c r="C54" s="30" t="s">
        <v>2061</v>
      </c>
      <c r="D54" s="31" t="s">
        <v>1973</v>
      </c>
      <c r="E54" s="31" t="s">
        <v>1964</v>
      </c>
      <c r="F54" s="30" t="s">
        <v>237</v>
      </c>
      <c r="G54" s="32" t="s">
        <v>209</v>
      </c>
      <c r="H54" s="33"/>
      <c r="I54" s="33"/>
      <c r="J54" s="40">
        <v>45991</v>
      </c>
      <c r="K54" s="41" t="s">
        <v>305</v>
      </c>
      <c r="L54" s="42" t="s">
        <v>209</v>
      </c>
      <c r="M54" s="40">
        <v>45993</v>
      </c>
      <c r="N54" s="41" t="s">
        <v>305</v>
      </c>
      <c r="O54" s="42" t="s">
        <v>209</v>
      </c>
      <c r="P54" s="40">
        <v>45995</v>
      </c>
      <c r="Q54" s="41" t="s">
        <v>305</v>
      </c>
      <c r="R54" s="30"/>
      <c r="S54" s="43"/>
      <c r="T54" s="44"/>
      <c r="U54" s="43"/>
      <c r="V54" s="43"/>
      <c r="W54" s="43"/>
      <c r="X54" s="43"/>
      <c r="Y54" s="43"/>
      <c r="Z54" s="43"/>
      <c r="AA54" s="43"/>
      <c r="AB54" s="43"/>
      <c r="AC54" s="43"/>
    </row>
    <row r="55" ht="78" customHeight="1" spans="1:29">
      <c r="A55" s="30" t="s">
        <v>118</v>
      </c>
      <c r="B55" s="30" t="s">
        <v>2062</v>
      </c>
      <c r="C55" s="30" t="s">
        <v>2063</v>
      </c>
      <c r="D55" s="31" t="s">
        <v>2064</v>
      </c>
      <c r="E55" s="31" t="s">
        <v>2053</v>
      </c>
      <c r="F55" s="30" t="s">
        <v>237</v>
      </c>
      <c r="G55" s="32" t="s">
        <v>209</v>
      </c>
      <c r="H55" s="33"/>
      <c r="I55" s="33"/>
      <c r="J55" s="40">
        <v>45991</v>
      </c>
      <c r="K55" s="41" t="s">
        <v>305</v>
      </c>
      <c r="L55" s="42" t="s">
        <v>209</v>
      </c>
      <c r="M55" s="40">
        <v>45993</v>
      </c>
      <c r="N55" s="41" t="s">
        <v>305</v>
      </c>
      <c r="O55" s="42" t="s">
        <v>209</v>
      </c>
      <c r="P55" s="40">
        <v>45995</v>
      </c>
      <c r="Q55" s="41" t="s">
        <v>305</v>
      </c>
      <c r="R55" s="30"/>
      <c r="S55" s="43"/>
      <c r="T55" s="44"/>
      <c r="U55" s="43"/>
      <c r="V55" s="43"/>
      <c r="W55" s="43"/>
      <c r="X55" s="43"/>
      <c r="Y55" s="43"/>
      <c r="Z55" s="43"/>
      <c r="AA55" s="43"/>
      <c r="AB55" s="43"/>
      <c r="AC55" s="43"/>
    </row>
    <row r="56" ht="47.25" customHeight="1" spans="1:29">
      <c r="A56" s="30" t="s">
        <v>118</v>
      </c>
      <c r="B56" s="30" t="s">
        <v>2065</v>
      </c>
      <c r="C56" s="30" t="s">
        <v>2066</v>
      </c>
      <c r="D56" s="31" t="s">
        <v>2067</v>
      </c>
      <c r="E56" s="31" t="s">
        <v>2053</v>
      </c>
      <c r="F56" s="30" t="s">
        <v>237</v>
      </c>
      <c r="G56" s="32" t="s">
        <v>209</v>
      </c>
      <c r="H56" s="33"/>
      <c r="I56" s="33"/>
      <c r="J56" s="40">
        <v>45991</v>
      </c>
      <c r="K56" s="41" t="s">
        <v>305</v>
      </c>
      <c r="L56" s="42" t="s">
        <v>209</v>
      </c>
      <c r="M56" s="40">
        <v>45993</v>
      </c>
      <c r="N56" s="41" t="s">
        <v>305</v>
      </c>
      <c r="O56" s="42" t="s">
        <v>209</v>
      </c>
      <c r="P56" s="40">
        <v>45995</v>
      </c>
      <c r="Q56" s="41" t="s">
        <v>305</v>
      </c>
      <c r="R56" s="30"/>
      <c r="S56" s="43"/>
      <c r="T56" s="44"/>
      <c r="U56" s="43"/>
      <c r="V56" s="43"/>
      <c r="W56" s="43"/>
      <c r="X56" s="43"/>
      <c r="Y56" s="43"/>
      <c r="Z56" s="43"/>
      <c r="AA56" s="43"/>
      <c r="AB56" s="43"/>
      <c r="AC56" s="43"/>
    </row>
    <row r="57" ht="57.75" customHeight="1" spans="1:29">
      <c r="A57" s="30" t="s">
        <v>120</v>
      </c>
      <c r="B57" s="30" t="s">
        <v>2068</v>
      </c>
      <c r="C57" s="30" t="s">
        <v>2069</v>
      </c>
      <c r="D57" s="31" t="s">
        <v>1959</v>
      </c>
      <c r="E57" s="31" t="s">
        <v>2070</v>
      </c>
      <c r="F57" s="30" t="s">
        <v>237</v>
      </c>
      <c r="G57" s="32" t="s">
        <v>209</v>
      </c>
      <c r="H57" s="33"/>
      <c r="I57" s="33"/>
      <c r="J57" s="40">
        <v>45991</v>
      </c>
      <c r="K57" s="41" t="s">
        <v>305</v>
      </c>
      <c r="L57" s="42" t="s">
        <v>209</v>
      </c>
      <c r="M57" s="40">
        <v>45993</v>
      </c>
      <c r="N57" s="41" t="s">
        <v>305</v>
      </c>
      <c r="O57" s="42" t="s">
        <v>209</v>
      </c>
      <c r="P57" s="40">
        <v>45995</v>
      </c>
      <c r="Q57" s="41" t="s">
        <v>305</v>
      </c>
      <c r="R57" s="30"/>
      <c r="S57" s="43"/>
      <c r="T57" s="44"/>
      <c r="U57" s="43"/>
      <c r="V57" s="43"/>
      <c r="W57" s="43"/>
      <c r="X57" s="43"/>
      <c r="Y57" s="43"/>
      <c r="Z57" s="43"/>
      <c r="AA57" s="43"/>
      <c r="AB57" s="43"/>
      <c r="AC57" s="43"/>
    </row>
    <row r="58" ht="69" customHeight="1" spans="1:29">
      <c r="A58" s="30" t="s">
        <v>120</v>
      </c>
      <c r="B58" s="30" t="s">
        <v>2071</v>
      </c>
      <c r="C58" s="30" t="s">
        <v>2072</v>
      </c>
      <c r="D58" s="31" t="s">
        <v>1963</v>
      </c>
      <c r="E58" s="31" t="s">
        <v>1964</v>
      </c>
      <c r="F58" s="30" t="s">
        <v>237</v>
      </c>
      <c r="G58" s="32" t="s">
        <v>209</v>
      </c>
      <c r="H58" s="33"/>
      <c r="I58" s="33"/>
      <c r="J58" s="40">
        <v>45991</v>
      </c>
      <c r="K58" s="41" t="s">
        <v>305</v>
      </c>
      <c r="L58" s="42" t="s">
        <v>209</v>
      </c>
      <c r="M58" s="40">
        <v>45993</v>
      </c>
      <c r="N58" s="41" t="s">
        <v>305</v>
      </c>
      <c r="O58" s="42" t="s">
        <v>209</v>
      </c>
      <c r="P58" s="40">
        <v>45995</v>
      </c>
      <c r="Q58" s="41" t="s">
        <v>305</v>
      </c>
      <c r="R58" s="30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54.75" customHeight="1" spans="1:29">
      <c r="A59" s="30" t="s">
        <v>120</v>
      </c>
      <c r="B59" s="30" t="s">
        <v>2073</v>
      </c>
      <c r="C59" s="30" t="s">
        <v>2074</v>
      </c>
      <c r="D59" s="31" t="s">
        <v>1967</v>
      </c>
      <c r="E59" s="31" t="s">
        <v>1964</v>
      </c>
      <c r="F59" s="30" t="s">
        <v>237</v>
      </c>
      <c r="G59" s="32" t="s">
        <v>209</v>
      </c>
      <c r="H59" s="33"/>
      <c r="I59" s="33"/>
      <c r="J59" s="40">
        <v>45991</v>
      </c>
      <c r="K59" s="41" t="s">
        <v>305</v>
      </c>
      <c r="L59" s="42" t="s">
        <v>209</v>
      </c>
      <c r="M59" s="40">
        <v>45993</v>
      </c>
      <c r="N59" s="41" t="s">
        <v>305</v>
      </c>
      <c r="O59" s="42" t="s">
        <v>209</v>
      </c>
      <c r="P59" s="40">
        <v>45995</v>
      </c>
      <c r="Q59" s="41" t="s">
        <v>305</v>
      </c>
      <c r="R59" s="30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63" customHeight="1" spans="1:29">
      <c r="A60" s="34" t="s">
        <v>120</v>
      </c>
      <c r="B60" s="34" t="s">
        <v>2075</v>
      </c>
      <c r="C60" s="35" t="s">
        <v>2076</v>
      </c>
      <c r="D60" s="36" t="s">
        <v>1970</v>
      </c>
      <c r="E60" s="36" t="s">
        <v>1964</v>
      </c>
      <c r="F60" s="30" t="s">
        <v>237</v>
      </c>
      <c r="G60" s="32" t="s">
        <v>209</v>
      </c>
      <c r="H60" s="33"/>
      <c r="I60" s="33"/>
      <c r="J60" s="40">
        <v>45991</v>
      </c>
      <c r="K60" s="41" t="s">
        <v>305</v>
      </c>
      <c r="L60" s="42" t="s">
        <v>209</v>
      </c>
      <c r="M60" s="40">
        <v>45993</v>
      </c>
      <c r="N60" s="41" t="s">
        <v>305</v>
      </c>
      <c r="O60" s="42" t="s">
        <v>209</v>
      </c>
      <c r="P60" s="40">
        <v>45995</v>
      </c>
      <c r="Q60" s="41" t="s">
        <v>305</v>
      </c>
      <c r="R60" s="30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60"/>
      <c r="B61" s="60"/>
      <c r="C61" s="38"/>
      <c r="D61" s="39" t="s">
        <v>2064</v>
      </c>
      <c r="E61" s="39" t="s">
        <v>2070</v>
      </c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60"/>
      <c r="B62" s="60"/>
      <c r="C62" s="38"/>
      <c r="D62" s="39" t="s">
        <v>2077</v>
      </c>
      <c r="E62" s="39" t="s">
        <v>2070</v>
      </c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60"/>
      <c r="B63" s="60"/>
      <c r="C63" s="38"/>
      <c r="D63" s="39" t="s">
        <v>1973</v>
      </c>
      <c r="E63" s="39" t="s">
        <v>1964</v>
      </c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43"/>
      <c r="C221" s="58"/>
      <c r="D221" s="59"/>
      <c r="E221" s="59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43"/>
      <c r="C222" s="58"/>
      <c r="D222" s="59"/>
      <c r="E222" s="59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43"/>
      <c r="C223" s="58"/>
      <c r="D223" s="59"/>
      <c r="E223" s="59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43"/>
      <c r="C224" s="58"/>
      <c r="D224" s="59"/>
      <c r="E224" s="59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43"/>
      <c r="C225" s="58"/>
      <c r="D225" s="59"/>
      <c r="E225" s="59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43"/>
      <c r="C226" s="58"/>
      <c r="D226" s="59"/>
      <c r="E226" s="59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43"/>
      <c r="C227" s="58"/>
      <c r="D227" s="59"/>
      <c r="E227" s="59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43"/>
      <c r="C228" s="58"/>
      <c r="D228" s="59"/>
      <c r="E228" s="59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43"/>
      <c r="C229" s="58"/>
      <c r="D229" s="59"/>
      <c r="E229" s="59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11:G60 H2:H3 L11:L60 M2:M3 O11:O60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01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122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COUNTA(B11:B941)-COUNTIF($N11:$N941,"Skip")</f>
        <v>34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COUNTIF($G11:$G941,C5)</f>
        <v>34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COUNTIF($L11:$L941,C5)</f>
        <v>34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COUNTIF($O11:$O941,C5)</f>
        <v>34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66" spans="1:29">
      <c r="A11" s="30" t="s">
        <v>121</v>
      </c>
      <c r="B11" s="30" t="s">
        <v>2078</v>
      </c>
      <c r="C11" s="30" t="s">
        <v>2079</v>
      </c>
      <c r="D11" s="31" t="s">
        <v>1959</v>
      </c>
      <c r="E11" s="31" t="s">
        <v>2080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305</v>
      </c>
      <c r="L11" s="42" t="s">
        <v>209</v>
      </c>
      <c r="M11" s="40">
        <v>45993</v>
      </c>
      <c r="N11" s="41" t="s">
        <v>305</v>
      </c>
      <c r="O11" s="42" t="s">
        <v>209</v>
      </c>
      <c r="P11" s="40">
        <v>45995</v>
      </c>
      <c r="Q11" s="41" t="s">
        <v>305</v>
      </c>
      <c r="R11" s="3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79.2" spans="1:29">
      <c r="A12" s="30" t="s">
        <v>121</v>
      </c>
      <c r="B12" s="30" t="s">
        <v>2081</v>
      </c>
      <c r="C12" s="30" t="s">
        <v>2082</v>
      </c>
      <c r="D12" s="31" t="s">
        <v>2064</v>
      </c>
      <c r="E12" s="31" t="s">
        <v>2083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305</v>
      </c>
      <c r="L12" s="42" t="s">
        <v>209</v>
      </c>
      <c r="M12" s="40">
        <v>45993</v>
      </c>
      <c r="N12" s="41" t="s">
        <v>305</v>
      </c>
      <c r="O12" s="42" t="s">
        <v>209</v>
      </c>
      <c r="P12" s="40">
        <v>45995</v>
      </c>
      <c r="Q12" s="41" t="s">
        <v>305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79.2" spans="1:29">
      <c r="A13" s="30" t="s">
        <v>121</v>
      </c>
      <c r="B13" s="30" t="s">
        <v>2084</v>
      </c>
      <c r="C13" s="30" t="s">
        <v>2085</v>
      </c>
      <c r="D13" s="31" t="s">
        <v>1963</v>
      </c>
      <c r="E13" s="31" t="s">
        <v>2083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305</v>
      </c>
      <c r="L13" s="42" t="s">
        <v>209</v>
      </c>
      <c r="M13" s="40">
        <v>45993</v>
      </c>
      <c r="N13" s="41" t="s">
        <v>305</v>
      </c>
      <c r="O13" s="42" t="s">
        <v>209</v>
      </c>
      <c r="P13" s="40">
        <v>45995</v>
      </c>
      <c r="Q13" s="41" t="s">
        <v>305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79.2" spans="1:29">
      <c r="A14" s="30" t="s">
        <v>121</v>
      </c>
      <c r="B14" s="30" t="s">
        <v>2086</v>
      </c>
      <c r="C14" s="30" t="s">
        <v>2087</v>
      </c>
      <c r="D14" s="31" t="s">
        <v>1967</v>
      </c>
      <c r="E14" s="31" t="s">
        <v>2083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305</v>
      </c>
      <c r="L14" s="42" t="s">
        <v>209</v>
      </c>
      <c r="M14" s="40">
        <v>45993</v>
      </c>
      <c r="N14" s="41" t="s">
        <v>305</v>
      </c>
      <c r="O14" s="42" t="s">
        <v>209</v>
      </c>
      <c r="P14" s="40">
        <v>45995</v>
      </c>
      <c r="Q14" s="41" t="s">
        <v>305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79.2" spans="1:29">
      <c r="A15" s="30" t="s">
        <v>121</v>
      </c>
      <c r="B15" s="30" t="s">
        <v>2088</v>
      </c>
      <c r="C15" s="30" t="s">
        <v>2089</v>
      </c>
      <c r="D15" s="31" t="s">
        <v>1970</v>
      </c>
      <c r="E15" s="31" t="s">
        <v>2083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305</v>
      </c>
      <c r="L15" s="42" t="s">
        <v>209</v>
      </c>
      <c r="M15" s="40">
        <v>45993</v>
      </c>
      <c r="N15" s="41" t="s">
        <v>305</v>
      </c>
      <c r="O15" s="42" t="s">
        <v>209</v>
      </c>
      <c r="P15" s="40">
        <v>45995</v>
      </c>
      <c r="Q15" s="41" t="s">
        <v>305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66" spans="1:29">
      <c r="A16" s="30" t="s">
        <v>121</v>
      </c>
      <c r="B16" s="30" t="s">
        <v>2090</v>
      </c>
      <c r="C16" s="30" t="s">
        <v>2091</v>
      </c>
      <c r="D16" s="31" t="s">
        <v>2077</v>
      </c>
      <c r="E16" s="31" t="s">
        <v>2080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305</v>
      </c>
      <c r="L16" s="42" t="s">
        <v>209</v>
      </c>
      <c r="M16" s="40">
        <v>45993</v>
      </c>
      <c r="N16" s="41" t="s">
        <v>305</v>
      </c>
      <c r="O16" s="42" t="s">
        <v>209</v>
      </c>
      <c r="P16" s="40">
        <v>45995</v>
      </c>
      <c r="Q16" s="41" t="s">
        <v>305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92.4" spans="1:29">
      <c r="A17" s="30" t="s">
        <v>123</v>
      </c>
      <c r="B17" s="30" t="s">
        <v>2092</v>
      </c>
      <c r="C17" s="30" t="s">
        <v>2093</v>
      </c>
      <c r="D17" s="31" t="s">
        <v>2094</v>
      </c>
      <c r="E17" s="31" t="s">
        <v>2095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305</v>
      </c>
      <c r="L17" s="42" t="s">
        <v>209</v>
      </c>
      <c r="M17" s="40">
        <v>45993</v>
      </c>
      <c r="N17" s="41" t="s">
        <v>305</v>
      </c>
      <c r="O17" s="42" t="s">
        <v>209</v>
      </c>
      <c r="P17" s="40">
        <v>45995</v>
      </c>
      <c r="Q17" s="41" t="s">
        <v>305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92.4" spans="1:29">
      <c r="A18" s="30" t="s">
        <v>123</v>
      </c>
      <c r="B18" s="30" t="s">
        <v>2096</v>
      </c>
      <c r="C18" s="30" t="s">
        <v>2097</v>
      </c>
      <c r="D18" s="31" t="s">
        <v>2098</v>
      </c>
      <c r="E18" s="31" t="s">
        <v>2095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305</v>
      </c>
      <c r="L18" s="42" t="s">
        <v>209</v>
      </c>
      <c r="M18" s="40">
        <v>45993</v>
      </c>
      <c r="N18" s="41" t="s">
        <v>305</v>
      </c>
      <c r="O18" s="42" t="s">
        <v>209</v>
      </c>
      <c r="P18" s="40">
        <v>45995</v>
      </c>
      <c r="Q18" s="41" t="s">
        <v>305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92.4" spans="1:29">
      <c r="A19" s="30" t="s">
        <v>123</v>
      </c>
      <c r="B19" s="30" t="s">
        <v>2099</v>
      </c>
      <c r="C19" s="30" t="s">
        <v>2100</v>
      </c>
      <c r="D19" s="31" t="s">
        <v>2101</v>
      </c>
      <c r="E19" s="31" t="s">
        <v>2026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305</v>
      </c>
      <c r="L19" s="42" t="s">
        <v>209</v>
      </c>
      <c r="M19" s="40">
        <v>45993</v>
      </c>
      <c r="N19" s="41" t="s">
        <v>305</v>
      </c>
      <c r="O19" s="42" t="s">
        <v>209</v>
      </c>
      <c r="P19" s="40">
        <v>45995</v>
      </c>
      <c r="Q19" s="41" t="s">
        <v>305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92.4" spans="1:29">
      <c r="A20" s="30" t="s">
        <v>123</v>
      </c>
      <c r="B20" s="30" t="s">
        <v>2102</v>
      </c>
      <c r="C20" s="30" t="s">
        <v>2103</v>
      </c>
      <c r="D20" s="31" t="s">
        <v>2104</v>
      </c>
      <c r="E20" s="31" t="s">
        <v>2105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305</v>
      </c>
      <c r="L20" s="42" t="s">
        <v>209</v>
      </c>
      <c r="M20" s="40">
        <v>45993</v>
      </c>
      <c r="N20" s="41" t="s">
        <v>305</v>
      </c>
      <c r="O20" s="42" t="s">
        <v>209</v>
      </c>
      <c r="P20" s="40">
        <v>45995</v>
      </c>
      <c r="Q20" s="41" t="s">
        <v>305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92.4" spans="1:29">
      <c r="A21" s="30" t="s">
        <v>123</v>
      </c>
      <c r="B21" s="30" t="s">
        <v>2106</v>
      </c>
      <c r="C21" s="30" t="s">
        <v>2107</v>
      </c>
      <c r="D21" s="31" t="s">
        <v>2108</v>
      </c>
      <c r="E21" s="31" t="s">
        <v>2109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305</v>
      </c>
      <c r="L21" s="42" t="s">
        <v>209</v>
      </c>
      <c r="M21" s="40">
        <v>45993</v>
      </c>
      <c r="N21" s="41" t="s">
        <v>305</v>
      </c>
      <c r="O21" s="42" t="s">
        <v>209</v>
      </c>
      <c r="P21" s="40">
        <v>45995</v>
      </c>
      <c r="Q21" s="41" t="s">
        <v>305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92.4" spans="1:29">
      <c r="A22" s="30" t="s">
        <v>123</v>
      </c>
      <c r="B22" s="30" t="s">
        <v>2110</v>
      </c>
      <c r="C22" s="30" t="s">
        <v>2111</v>
      </c>
      <c r="D22" s="31" t="s">
        <v>2112</v>
      </c>
      <c r="E22" s="31" t="s">
        <v>2113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305</v>
      </c>
      <c r="L22" s="42" t="s">
        <v>209</v>
      </c>
      <c r="M22" s="40">
        <v>45993</v>
      </c>
      <c r="N22" s="41" t="s">
        <v>305</v>
      </c>
      <c r="O22" s="42" t="s">
        <v>209</v>
      </c>
      <c r="P22" s="40">
        <v>45995</v>
      </c>
      <c r="Q22" s="41" t="s">
        <v>305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92.4" outlineLevel="1" spans="1:29">
      <c r="A23" s="30" t="s">
        <v>123</v>
      </c>
      <c r="B23" s="30" t="s">
        <v>2114</v>
      </c>
      <c r="C23" s="30" t="s">
        <v>2115</v>
      </c>
      <c r="D23" s="31" t="s">
        <v>2116</v>
      </c>
      <c r="E23" s="31" t="s">
        <v>2117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305</v>
      </c>
      <c r="L23" s="42" t="s">
        <v>209</v>
      </c>
      <c r="M23" s="40">
        <v>45993</v>
      </c>
      <c r="N23" s="41" t="s">
        <v>305</v>
      </c>
      <c r="O23" s="42" t="s">
        <v>209</v>
      </c>
      <c r="P23" s="40">
        <v>45995</v>
      </c>
      <c r="Q23" s="41" t="s">
        <v>305</v>
      </c>
      <c r="R23" s="30"/>
      <c r="S23" s="52"/>
      <c r="T23" s="53"/>
      <c r="U23" s="52"/>
      <c r="V23" s="52"/>
      <c r="W23" s="52"/>
      <c r="X23" s="52"/>
      <c r="Y23" s="52"/>
      <c r="Z23" s="52"/>
      <c r="AA23" s="52"/>
      <c r="AB23" s="52"/>
      <c r="AC23" s="52"/>
    </row>
    <row r="24" ht="92.4" outlineLevel="1" spans="1:29">
      <c r="A24" s="30" t="s">
        <v>123</v>
      </c>
      <c r="B24" s="30" t="s">
        <v>2118</v>
      </c>
      <c r="C24" s="30" t="s">
        <v>2119</v>
      </c>
      <c r="D24" s="31" t="s">
        <v>2094</v>
      </c>
      <c r="E24" s="31" t="s">
        <v>2120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305</v>
      </c>
      <c r="L24" s="42" t="s">
        <v>209</v>
      </c>
      <c r="M24" s="40">
        <v>45993</v>
      </c>
      <c r="N24" s="41" t="s">
        <v>305</v>
      </c>
      <c r="O24" s="42" t="s">
        <v>209</v>
      </c>
      <c r="P24" s="40">
        <v>45995</v>
      </c>
      <c r="Q24" s="41" t="s">
        <v>305</v>
      </c>
      <c r="R24" s="30"/>
      <c r="S24" s="43"/>
      <c r="T24" s="53"/>
      <c r="U24" s="43"/>
      <c r="V24" s="43"/>
      <c r="W24" s="43"/>
      <c r="X24" s="43"/>
      <c r="Y24" s="43"/>
      <c r="Z24" s="43"/>
      <c r="AA24" s="43"/>
      <c r="AB24" s="43"/>
      <c r="AC24" s="43"/>
    </row>
    <row r="25" ht="92.4" outlineLevel="1" spans="1:29">
      <c r="A25" s="30" t="s">
        <v>123</v>
      </c>
      <c r="B25" s="30" t="s">
        <v>2121</v>
      </c>
      <c r="C25" s="30" t="s">
        <v>2122</v>
      </c>
      <c r="D25" s="31" t="s">
        <v>2123</v>
      </c>
      <c r="E25" s="31" t="s">
        <v>2026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305</v>
      </c>
      <c r="L25" s="42" t="s">
        <v>209</v>
      </c>
      <c r="M25" s="40">
        <v>45993</v>
      </c>
      <c r="N25" s="41" t="s">
        <v>305</v>
      </c>
      <c r="O25" s="42" t="s">
        <v>209</v>
      </c>
      <c r="P25" s="40">
        <v>45995</v>
      </c>
      <c r="Q25" s="41" t="s">
        <v>305</v>
      </c>
      <c r="R25" s="30"/>
      <c r="S25" s="43"/>
      <c r="T25" s="53"/>
      <c r="U25" s="43"/>
      <c r="V25" s="43"/>
      <c r="W25" s="43"/>
      <c r="X25" s="43"/>
      <c r="Y25" s="43"/>
      <c r="Z25" s="43"/>
      <c r="AA25" s="43"/>
      <c r="AB25" s="43"/>
      <c r="AC25" s="43"/>
    </row>
    <row r="26" ht="92.4" outlineLevel="1" spans="1:29">
      <c r="A26" s="30" t="s">
        <v>123</v>
      </c>
      <c r="B26" s="30" t="s">
        <v>2124</v>
      </c>
      <c r="C26" s="30" t="s">
        <v>2125</v>
      </c>
      <c r="D26" s="31" t="s">
        <v>2126</v>
      </c>
      <c r="E26" s="31" t="s">
        <v>2105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305</v>
      </c>
      <c r="L26" s="42" t="s">
        <v>209</v>
      </c>
      <c r="M26" s="40">
        <v>45993</v>
      </c>
      <c r="N26" s="41" t="s">
        <v>305</v>
      </c>
      <c r="O26" s="42" t="s">
        <v>209</v>
      </c>
      <c r="P26" s="40">
        <v>45995</v>
      </c>
      <c r="Q26" s="41" t="s">
        <v>305</v>
      </c>
      <c r="R26" s="30"/>
      <c r="S26" s="43"/>
      <c r="T26" s="53"/>
      <c r="U26" s="43"/>
      <c r="V26" s="43"/>
      <c r="W26" s="43"/>
      <c r="X26" s="43"/>
      <c r="Y26" s="43"/>
      <c r="Z26" s="43"/>
      <c r="AA26" s="43"/>
      <c r="AB26" s="43"/>
      <c r="AC26" s="43"/>
    </row>
    <row r="27" ht="92.4" outlineLevel="1" spans="1:29">
      <c r="A27" s="30" t="s">
        <v>123</v>
      </c>
      <c r="B27" s="30" t="s">
        <v>2127</v>
      </c>
      <c r="C27" s="30" t="s">
        <v>2128</v>
      </c>
      <c r="D27" s="31" t="s">
        <v>2129</v>
      </c>
      <c r="E27" s="31" t="s">
        <v>2130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305</v>
      </c>
      <c r="L27" s="42" t="s">
        <v>209</v>
      </c>
      <c r="M27" s="40">
        <v>45993</v>
      </c>
      <c r="N27" s="41" t="s">
        <v>305</v>
      </c>
      <c r="O27" s="42" t="s">
        <v>209</v>
      </c>
      <c r="P27" s="40">
        <v>45995</v>
      </c>
      <c r="Q27" s="41" t="s">
        <v>305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92.4" outlineLevel="1" spans="1:29">
      <c r="A28" s="30" t="s">
        <v>123</v>
      </c>
      <c r="B28" s="30" t="s">
        <v>2131</v>
      </c>
      <c r="C28" s="30" t="s">
        <v>2132</v>
      </c>
      <c r="D28" s="31" t="s">
        <v>2133</v>
      </c>
      <c r="E28" s="31" t="s">
        <v>2095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305</v>
      </c>
      <c r="L28" s="42" t="s">
        <v>209</v>
      </c>
      <c r="M28" s="40">
        <v>45993</v>
      </c>
      <c r="N28" s="41" t="s">
        <v>305</v>
      </c>
      <c r="O28" s="42" t="s">
        <v>209</v>
      </c>
      <c r="P28" s="40">
        <v>45995</v>
      </c>
      <c r="Q28" s="41" t="s">
        <v>305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92.4" outlineLevel="1" spans="1:29">
      <c r="A29" s="30" t="s">
        <v>123</v>
      </c>
      <c r="B29" s="30" t="s">
        <v>2134</v>
      </c>
      <c r="C29" s="30" t="s">
        <v>2135</v>
      </c>
      <c r="D29" s="31" t="s">
        <v>2136</v>
      </c>
      <c r="E29" s="31" t="s">
        <v>2137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305</v>
      </c>
      <c r="L29" s="42" t="s">
        <v>209</v>
      </c>
      <c r="M29" s="40">
        <v>45993</v>
      </c>
      <c r="N29" s="41" t="s">
        <v>305</v>
      </c>
      <c r="O29" s="42" t="s">
        <v>209</v>
      </c>
      <c r="P29" s="40">
        <v>45995</v>
      </c>
      <c r="Q29" s="41" t="s">
        <v>305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92.4" outlineLevel="1" spans="1:29">
      <c r="A30" s="30" t="s">
        <v>123</v>
      </c>
      <c r="B30" s="30" t="s">
        <v>2138</v>
      </c>
      <c r="C30" s="30" t="s">
        <v>2139</v>
      </c>
      <c r="D30" s="31" t="s">
        <v>2140</v>
      </c>
      <c r="E30" s="31" t="s">
        <v>2141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305</v>
      </c>
      <c r="L30" s="42" t="s">
        <v>209</v>
      </c>
      <c r="M30" s="40">
        <v>45993</v>
      </c>
      <c r="N30" s="41" t="s">
        <v>305</v>
      </c>
      <c r="O30" s="42" t="s">
        <v>209</v>
      </c>
      <c r="P30" s="40">
        <v>45995</v>
      </c>
      <c r="Q30" s="41" t="s">
        <v>305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92.4" outlineLevel="1" spans="1:29">
      <c r="A31" s="30" t="s">
        <v>124</v>
      </c>
      <c r="B31" s="30" t="s">
        <v>2142</v>
      </c>
      <c r="C31" s="30" t="s">
        <v>2143</v>
      </c>
      <c r="D31" s="31" t="s">
        <v>2144</v>
      </c>
      <c r="E31" s="31" t="s">
        <v>2145</v>
      </c>
      <c r="F31" s="30" t="s">
        <v>237</v>
      </c>
      <c r="G31" s="32" t="s">
        <v>209</v>
      </c>
      <c r="H31" s="33"/>
      <c r="I31" s="33"/>
      <c r="J31" s="40">
        <v>45991</v>
      </c>
      <c r="K31" s="41" t="s">
        <v>305</v>
      </c>
      <c r="L31" s="42" t="s">
        <v>209</v>
      </c>
      <c r="M31" s="40">
        <v>45993</v>
      </c>
      <c r="N31" s="41" t="s">
        <v>305</v>
      </c>
      <c r="O31" s="42" t="s">
        <v>209</v>
      </c>
      <c r="P31" s="40">
        <v>45995</v>
      </c>
      <c r="Q31" s="41" t="s">
        <v>305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92.4" outlineLevel="1" spans="1:29">
      <c r="A32" s="30" t="s">
        <v>124</v>
      </c>
      <c r="B32" s="30" t="s">
        <v>2146</v>
      </c>
      <c r="C32" s="30" t="s">
        <v>2147</v>
      </c>
      <c r="D32" s="31" t="s">
        <v>2148</v>
      </c>
      <c r="E32" s="31" t="s">
        <v>2145</v>
      </c>
      <c r="F32" s="30" t="s">
        <v>237</v>
      </c>
      <c r="G32" s="32" t="s">
        <v>209</v>
      </c>
      <c r="H32" s="33"/>
      <c r="I32" s="33"/>
      <c r="J32" s="40">
        <v>45991</v>
      </c>
      <c r="K32" s="41" t="s">
        <v>305</v>
      </c>
      <c r="L32" s="42" t="s">
        <v>209</v>
      </c>
      <c r="M32" s="40">
        <v>45993</v>
      </c>
      <c r="N32" s="41" t="s">
        <v>305</v>
      </c>
      <c r="O32" s="42" t="s">
        <v>209</v>
      </c>
      <c r="P32" s="40">
        <v>45995</v>
      </c>
      <c r="Q32" s="41" t="s">
        <v>305</v>
      </c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92.4" outlineLevel="1" spans="1:29">
      <c r="A33" s="30" t="s">
        <v>124</v>
      </c>
      <c r="B33" s="30" t="s">
        <v>2149</v>
      </c>
      <c r="C33" s="30" t="s">
        <v>2150</v>
      </c>
      <c r="D33" s="31" t="s">
        <v>2151</v>
      </c>
      <c r="E33" s="31" t="s">
        <v>2026</v>
      </c>
      <c r="F33" s="30" t="s">
        <v>237</v>
      </c>
      <c r="G33" s="32" t="s">
        <v>209</v>
      </c>
      <c r="H33" s="33"/>
      <c r="I33" s="33"/>
      <c r="J33" s="40">
        <v>45991</v>
      </c>
      <c r="K33" s="41" t="s">
        <v>305</v>
      </c>
      <c r="L33" s="42" t="s">
        <v>209</v>
      </c>
      <c r="M33" s="40">
        <v>45993</v>
      </c>
      <c r="N33" s="41" t="s">
        <v>305</v>
      </c>
      <c r="O33" s="42" t="s">
        <v>209</v>
      </c>
      <c r="P33" s="40">
        <v>45995</v>
      </c>
      <c r="Q33" s="41" t="s">
        <v>305</v>
      </c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92.4" outlineLevel="1" spans="1:29">
      <c r="A34" s="30" t="s">
        <v>124</v>
      </c>
      <c r="B34" s="30" t="s">
        <v>2152</v>
      </c>
      <c r="C34" s="30" t="s">
        <v>2153</v>
      </c>
      <c r="D34" s="31" t="s">
        <v>2154</v>
      </c>
      <c r="E34" s="31" t="s">
        <v>2105</v>
      </c>
      <c r="F34" s="30" t="s">
        <v>237</v>
      </c>
      <c r="G34" s="32" t="s">
        <v>209</v>
      </c>
      <c r="H34" s="33"/>
      <c r="I34" s="33"/>
      <c r="J34" s="40">
        <v>45991</v>
      </c>
      <c r="K34" s="41" t="s">
        <v>305</v>
      </c>
      <c r="L34" s="42" t="s">
        <v>209</v>
      </c>
      <c r="M34" s="40">
        <v>45993</v>
      </c>
      <c r="N34" s="41" t="s">
        <v>305</v>
      </c>
      <c r="O34" s="42" t="s">
        <v>209</v>
      </c>
      <c r="P34" s="40">
        <v>45995</v>
      </c>
      <c r="Q34" s="41" t="s">
        <v>305</v>
      </c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92.4" outlineLevel="1" spans="1:29">
      <c r="A35" s="30" t="s">
        <v>124</v>
      </c>
      <c r="B35" s="30" t="s">
        <v>2155</v>
      </c>
      <c r="C35" s="30" t="s">
        <v>2156</v>
      </c>
      <c r="D35" s="31" t="s">
        <v>2157</v>
      </c>
      <c r="E35" s="31" t="s">
        <v>2158</v>
      </c>
      <c r="F35" s="30" t="s">
        <v>237</v>
      </c>
      <c r="G35" s="32" t="s">
        <v>209</v>
      </c>
      <c r="H35" s="33"/>
      <c r="I35" s="33"/>
      <c r="J35" s="40">
        <v>45991</v>
      </c>
      <c r="K35" s="41" t="s">
        <v>305</v>
      </c>
      <c r="L35" s="42" t="s">
        <v>209</v>
      </c>
      <c r="M35" s="40">
        <v>45993</v>
      </c>
      <c r="N35" s="41" t="s">
        <v>305</v>
      </c>
      <c r="O35" s="42" t="s">
        <v>209</v>
      </c>
      <c r="P35" s="40">
        <v>45995</v>
      </c>
      <c r="Q35" s="41" t="s">
        <v>305</v>
      </c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92.4" outlineLevel="1" spans="1:29">
      <c r="A36" s="30" t="s">
        <v>124</v>
      </c>
      <c r="B36" s="30" t="s">
        <v>2159</v>
      </c>
      <c r="C36" s="30" t="s">
        <v>2160</v>
      </c>
      <c r="D36" s="31" t="s">
        <v>2108</v>
      </c>
      <c r="E36" s="31" t="s">
        <v>2109</v>
      </c>
      <c r="F36" s="30" t="s">
        <v>237</v>
      </c>
      <c r="G36" s="32" t="s">
        <v>209</v>
      </c>
      <c r="H36" s="33"/>
      <c r="I36" s="33"/>
      <c r="J36" s="40">
        <v>45991</v>
      </c>
      <c r="K36" s="41" t="s">
        <v>305</v>
      </c>
      <c r="L36" s="42" t="s">
        <v>209</v>
      </c>
      <c r="M36" s="40">
        <v>45993</v>
      </c>
      <c r="N36" s="41" t="s">
        <v>305</v>
      </c>
      <c r="O36" s="42" t="s">
        <v>209</v>
      </c>
      <c r="P36" s="40">
        <v>45995</v>
      </c>
      <c r="Q36" s="41" t="s">
        <v>305</v>
      </c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92.4" outlineLevel="1" spans="1:29">
      <c r="A37" s="30" t="s">
        <v>124</v>
      </c>
      <c r="B37" s="30" t="s">
        <v>2161</v>
      </c>
      <c r="C37" s="30" t="s">
        <v>2162</v>
      </c>
      <c r="D37" s="31" t="s">
        <v>2163</v>
      </c>
      <c r="E37" s="31" t="s">
        <v>2113</v>
      </c>
      <c r="F37" s="30" t="s">
        <v>237</v>
      </c>
      <c r="G37" s="32" t="s">
        <v>209</v>
      </c>
      <c r="H37" s="33"/>
      <c r="I37" s="33"/>
      <c r="J37" s="40">
        <v>45991</v>
      </c>
      <c r="K37" s="41" t="s">
        <v>305</v>
      </c>
      <c r="L37" s="42" t="s">
        <v>209</v>
      </c>
      <c r="M37" s="40">
        <v>45993</v>
      </c>
      <c r="N37" s="41" t="s">
        <v>305</v>
      </c>
      <c r="O37" s="42" t="s">
        <v>209</v>
      </c>
      <c r="P37" s="40">
        <v>45995</v>
      </c>
      <c r="Q37" s="41" t="s">
        <v>305</v>
      </c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92.4" outlineLevel="1" spans="1:29">
      <c r="A38" s="30" t="s">
        <v>124</v>
      </c>
      <c r="B38" s="30" t="s">
        <v>2164</v>
      </c>
      <c r="C38" s="30" t="s">
        <v>2165</v>
      </c>
      <c r="D38" s="31" t="s">
        <v>2116</v>
      </c>
      <c r="E38" s="31" t="s">
        <v>2117</v>
      </c>
      <c r="F38" s="30" t="s">
        <v>237</v>
      </c>
      <c r="G38" s="32" t="s">
        <v>209</v>
      </c>
      <c r="H38" s="33"/>
      <c r="I38" s="33"/>
      <c r="J38" s="40">
        <v>45991</v>
      </c>
      <c r="K38" s="41" t="s">
        <v>305</v>
      </c>
      <c r="L38" s="42" t="s">
        <v>209</v>
      </c>
      <c r="M38" s="40">
        <v>45993</v>
      </c>
      <c r="N38" s="41" t="s">
        <v>305</v>
      </c>
      <c r="O38" s="42" t="s">
        <v>209</v>
      </c>
      <c r="P38" s="40">
        <v>45995</v>
      </c>
      <c r="Q38" s="41" t="s">
        <v>305</v>
      </c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92.4" outlineLevel="1" spans="1:29">
      <c r="A39" s="30" t="s">
        <v>124</v>
      </c>
      <c r="B39" s="30" t="s">
        <v>2166</v>
      </c>
      <c r="C39" s="30" t="s">
        <v>2167</v>
      </c>
      <c r="D39" s="31" t="s">
        <v>2168</v>
      </c>
      <c r="E39" s="31" t="s">
        <v>2026</v>
      </c>
      <c r="F39" s="30" t="s">
        <v>237</v>
      </c>
      <c r="G39" s="32" t="s">
        <v>209</v>
      </c>
      <c r="H39" s="33"/>
      <c r="I39" s="33"/>
      <c r="J39" s="40">
        <v>45991</v>
      </c>
      <c r="K39" s="41" t="s">
        <v>305</v>
      </c>
      <c r="L39" s="42" t="s">
        <v>209</v>
      </c>
      <c r="M39" s="40">
        <v>45993</v>
      </c>
      <c r="N39" s="41" t="s">
        <v>305</v>
      </c>
      <c r="O39" s="42" t="s">
        <v>209</v>
      </c>
      <c r="P39" s="40">
        <v>45995</v>
      </c>
      <c r="Q39" s="41" t="s">
        <v>305</v>
      </c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92.4" spans="1:29">
      <c r="A40" s="30" t="s">
        <v>124</v>
      </c>
      <c r="B40" s="30" t="s">
        <v>2169</v>
      </c>
      <c r="C40" s="30" t="s">
        <v>2170</v>
      </c>
      <c r="D40" s="31" t="s">
        <v>2171</v>
      </c>
      <c r="E40" s="31" t="s">
        <v>2105</v>
      </c>
      <c r="F40" s="30" t="s">
        <v>237</v>
      </c>
      <c r="G40" s="32" t="s">
        <v>209</v>
      </c>
      <c r="H40" s="33"/>
      <c r="I40" s="33"/>
      <c r="J40" s="40">
        <v>45991</v>
      </c>
      <c r="K40" s="41" t="s">
        <v>305</v>
      </c>
      <c r="L40" s="42" t="s">
        <v>209</v>
      </c>
      <c r="M40" s="40">
        <v>45993</v>
      </c>
      <c r="N40" s="41" t="s">
        <v>305</v>
      </c>
      <c r="O40" s="42" t="s">
        <v>209</v>
      </c>
      <c r="P40" s="40">
        <v>45995</v>
      </c>
      <c r="Q40" s="41" t="s">
        <v>305</v>
      </c>
      <c r="R40" s="30"/>
      <c r="S40" s="47"/>
      <c r="T40" s="51"/>
      <c r="U40" s="47"/>
      <c r="V40" s="47"/>
      <c r="W40" s="47"/>
      <c r="X40" s="47"/>
      <c r="Y40" s="47"/>
      <c r="Z40" s="47"/>
      <c r="AA40" s="47"/>
      <c r="AB40" s="47"/>
      <c r="AC40" s="47"/>
    </row>
    <row r="41" ht="92.4" spans="1:29">
      <c r="A41" s="30" t="s">
        <v>124</v>
      </c>
      <c r="B41" s="30" t="s">
        <v>2172</v>
      </c>
      <c r="C41" s="30" t="s">
        <v>2173</v>
      </c>
      <c r="D41" s="31" t="s">
        <v>2174</v>
      </c>
      <c r="E41" s="31" t="s">
        <v>2130</v>
      </c>
      <c r="F41" s="30" t="s">
        <v>237</v>
      </c>
      <c r="G41" s="32" t="s">
        <v>209</v>
      </c>
      <c r="H41" s="33"/>
      <c r="I41" s="33"/>
      <c r="J41" s="40">
        <v>45991</v>
      </c>
      <c r="K41" s="41" t="s">
        <v>305</v>
      </c>
      <c r="L41" s="42" t="s">
        <v>209</v>
      </c>
      <c r="M41" s="40">
        <v>45993</v>
      </c>
      <c r="N41" s="41" t="s">
        <v>305</v>
      </c>
      <c r="O41" s="42" t="s">
        <v>209</v>
      </c>
      <c r="P41" s="40">
        <v>45995</v>
      </c>
      <c r="Q41" s="41" t="s">
        <v>305</v>
      </c>
      <c r="R41" s="30"/>
      <c r="S41" s="54"/>
      <c r="T41" s="55"/>
      <c r="U41" s="54"/>
      <c r="V41" s="54"/>
      <c r="W41" s="54"/>
      <c r="X41" s="54"/>
      <c r="Y41" s="54"/>
      <c r="Z41" s="54"/>
      <c r="AA41" s="54"/>
      <c r="AB41" s="54"/>
      <c r="AC41" s="54"/>
    </row>
    <row r="42" ht="92.4" spans="1:29">
      <c r="A42" s="30" t="s">
        <v>124</v>
      </c>
      <c r="B42" s="30" t="s">
        <v>2175</v>
      </c>
      <c r="C42" s="30" t="s">
        <v>2176</v>
      </c>
      <c r="D42" s="31" t="s">
        <v>2133</v>
      </c>
      <c r="E42" s="31" t="s">
        <v>2145</v>
      </c>
      <c r="F42" s="30" t="s">
        <v>237</v>
      </c>
      <c r="G42" s="32" t="s">
        <v>209</v>
      </c>
      <c r="H42" s="33"/>
      <c r="I42" s="33"/>
      <c r="J42" s="40">
        <v>45991</v>
      </c>
      <c r="K42" s="41" t="s">
        <v>305</v>
      </c>
      <c r="L42" s="42" t="s">
        <v>209</v>
      </c>
      <c r="M42" s="40">
        <v>45993</v>
      </c>
      <c r="N42" s="41" t="s">
        <v>305</v>
      </c>
      <c r="O42" s="42" t="s">
        <v>209</v>
      </c>
      <c r="P42" s="40">
        <v>45995</v>
      </c>
      <c r="Q42" s="41" t="s">
        <v>305</v>
      </c>
      <c r="R42" s="30"/>
      <c r="S42" s="54"/>
      <c r="T42" s="55"/>
      <c r="U42" s="54"/>
      <c r="V42" s="54"/>
      <c r="W42" s="54"/>
      <c r="X42" s="54"/>
      <c r="Y42" s="54"/>
      <c r="Z42" s="54"/>
      <c r="AA42" s="54"/>
      <c r="AB42" s="54"/>
      <c r="AC42" s="54"/>
    </row>
    <row r="43" ht="92.4" outlineLevel="1" spans="1:29">
      <c r="A43" s="30" t="s">
        <v>124</v>
      </c>
      <c r="B43" s="30" t="s">
        <v>2177</v>
      </c>
      <c r="C43" s="30" t="s">
        <v>2178</v>
      </c>
      <c r="D43" s="31" t="s">
        <v>2179</v>
      </c>
      <c r="E43" s="31" t="s">
        <v>2145</v>
      </c>
      <c r="F43" s="30" t="s">
        <v>237</v>
      </c>
      <c r="G43" s="32" t="s">
        <v>209</v>
      </c>
      <c r="H43" s="33"/>
      <c r="I43" s="33"/>
      <c r="J43" s="40">
        <v>45991</v>
      </c>
      <c r="K43" s="41" t="s">
        <v>305</v>
      </c>
      <c r="L43" s="42" t="s">
        <v>209</v>
      </c>
      <c r="M43" s="40">
        <v>45993</v>
      </c>
      <c r="N43" s="41" t="s">
        <v>305</v>
      </c>
      <c r="O43" s="42" t="s">
        <v>209</v>
      </c>
      <c r="P43" s="40">
        <v>45995</v>
      </c>
      <c r="Q43" s="41" t="s">
        <v>305</v>
      </c>
      <c r="R43" s="30"/>
      <c r="S43" s="37"/>
      <c r="T43" s="56"/>
      <c r="U43" s="37"/>
      <c r="V43" s="37"/>
      <c r="W43" s="37"/>
      <c r="X43" s="37"/>
      <c r="Y43" s="37"/>
      <c r="Z43" s="37"/>
      <c r="AA43" s="37"/>
      <c r="AB43" s="37"/>
      <c r="AC43" s="37"/>
    </row>
    <row r="44" ht="92.4" outlineLevel="1" spans="1:29">
      <c r="A44" s="30" t="s">
        <v>124</v>
      </c>
      <c r="B44" s="30" t="s">
        <v>2180</v>
      </c>
      <c r="C44" s="30" t="s">
        <v>2181</v>
      </c>
      <c r="D44" s="31" t="s">
        <v>2182</v>
      </c>
      <c r="E44" s="31" t="s">
        <v>2145</v>
      </c>
      <c r="F44" s="30" t="s">
        <v>237</v>
      </c>
      <c r="G44" s="32" t="s">
        <v>209</v>
      </c>
      <c r="H44" s="33"/>
      <c r="I44" s="33"/>
      <c r="J44" s="40">
        <v>45991</v>
      </c>
      <c r="K44" s="41" t="s">
        <v>305</v>
      </c>
      <c r="L44" s="42" t="s">
        <v>209</v>
      </c>
      <c r="M44" s="40">
        <v>45993</v>
      </c>
      <c r="N44" s="41" t="s">
        <v>305</v>
      </c>
      <c r="O44" s="42" t="s">
        <v>209</v>
      </c>
      <c r="P44" s="40">
        <v>45995</v>
      </c>
      <c r="Q44" s="41" t="s">
        <v>305</v>
      </c>
      <c r="R44" s="30"/>
      <c r="S44" s="37"/>
      <c r="T44" s="56"/>
      <c r="U44" s="37"/>
      <c r="V44" s="37"/>
      <c r="W44" s="37"/>
      <c r="X44" s="37"/>
      <c r="Y44" s="37"/>
      <c r="Z44" s="37"/>
      <c r="AA44" s="37"/>
      <c r="AB44" s="37"/>
      <c r="AC44" s="37"/>
    </row>
    <row r="45" ht="12.75" customHeight="1" spans="1:29">
      <c r="A45" s="37"/>
      <c r="B45" s="37"/>
      <c r="C45" s="38"/>
      <c r="D45" s="39"/>
      <c r="E45" s="39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43"/>
      <c r="T45" s="44"/>
      <c r="U45" s="43"/>
      <c r="V45" s="43"/>
      <c r="W45" s="43"/>
      <c r="X45" s="43"/>
      <c r="Y45" s="43"/>
      <c r="Z45" s="43"/>
      <c r="AA45" s="43"/>
      <c r="AB45" s="43"/>
      <c r="AC45" s="43"/>
    </row>
    <row r="46" ht="12.75" customHeight="1" spans="1:29">
      <c r="A46" s="37"/>
      <c r="B46" s="37"/>
      <c r="C46" s="38"/>
      <c r="D46" s="39"/>
      <c r="E46" s="39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43"/>
      <c r="T46" s="44"/>
      <c r="U46" s="43"/>
      <c r="V46" s="43"/>
      <c r="W46" s="43"/>
      <c r="X46" s="43"/>
      <c r="Y46" s="43"/>
      <c r="Z46" s="43"/>
      <c r="AA46" s="43"/>
      <c r="AB46" s="43"/>
      <c r="AC46" s="43"/>
    </row>
    <row r="47" ht="12.75" customHeight="1" spans="1:29">
      <c r="A47" s="37"/>
      <c r="B47" s="37"/>
      <c r="C47" s="38"/>
      <c r="D47" s="39"/>
      <c r="E47" s="39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43"/>
      <c r="T47" s="44"/>
      <c r="U47" s="43"/>
      <c r="V47" s="43"/>
      <c r="W47" s="43"/>
      <c r="X47" s="43"/>
      <c r="Y47" s="43"/>
      <c r="Z47" s="43"/>
      <c r="AA47" s="43"/>
      <c r="AB47" s="43"/>
      <c r="AC47" s="43"/>
    </row>
    <row r="48" ht="12.75" customHeight="1" spans="1:29">
      <c r="A48" s="37"/>
      <c r="B48" s="37"/>
      <c r="C48" s="38"/>
      <c r="D48" s="39"/>
      <c r="E48" s="39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43"/>
      <c r="T48" s="44"/>
      <c r="U48" s="43"/>
      <c r="V48" s="43"/>
      <c r="W48" s="43"/>
      <c r="X48" s="43"/>
      <c r="Y48" s="43"/>
      <c r="Z48" s="43"/>
      <c r="AA48" s="43"/>
      <c r="AB48" s="43"/>
      <c r="AC48" s="43"/>
    </row>
    <row r="49" ht="12.75" customHeight="1" spans="1:29">
      <c r="A49" s="37"/>
      <c r="B49" s="37"/>
      <c r="C49" s="38"/>
      <c r="D49" s="39"/>
      <c r="E49" s="39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43"/>
      <c r="T49" s="44"/>
      <c r="U49" s="43"/>
      <c r="V49" s="43"/>
      <c r="W49" s="43"/>
      <c r="X49" s="43"/>
      <c r="Y49" s="43"/>
      <c r="Z49" s="43"/>
      <c r="AA49" s="43"/>
      <c r="AB49" s="43"/>
      <c r="AC49" s="43"/>
    </row>
    <row r="50" ht="12.75" customHeight="1" spans="1:29">
      <c r="A50" s="37"/>
      <c r="B50" s="37"/>
      <c r="C50" s="38"/>
      <c r="D50" s="39"/>
      <c r="E50" s="39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43"/>
      <c r="T50" s="44"/>
      <c r="U50" s="43"/>
      <c r="V50" s="43"/>
      <c r="W50" s="43"/>
      <c r="X50" s="43"/>
      <c r="Y50" s="43"/>
      <c r="Z50" s="43"/>
      <c r="AA50" s="43"/>
      <c r="AB50" s="43"/>
      <c r="AC50" s="43"/>
    </row>
    <row r="51" ht="12.75" customHeight="1" spans="1:29">
      <c r="A51" s="37"/>
      <c r="B51" s="37"/>
      <c r="C51" s="38"/>
      <c r="D51" s="39"/>
      <c r="E51" s="39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43"/>
      <c r="T51" s="44"/>
      <c r="U51" s="43"/>
      <c r="V51" s="43"/>
      <c r="W51" s="43"/>
      <c r="X51" s="43"/>
      <c r="Y51" s="43"/>
      <c r="Z51" s="43"/>
      <c r="AA51" s="43"/>
      <c r="AB51" s="43"/>
      <c r="AC51" s="43"/>
    </row>
    <row r="52" ht="12.75" customHeight="1" spans="1:29">
      <c r="A52" s="37"/>
      <c r="B52" s="37"/>
      <c r="C52" s="38"/>
      <c r="D52" s="39"/>
      <c r="E52" s="39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43"/>
      <c r="T52" s="44"/>
      <c r="U52" s="43"/>
      <c r="V52" s="43"/>
      <c r="W52" s="43"/>
      <c r="X52" s="43"/>
      <c r="Y52" s="43"/>
      <c r="Z52" s="43"/>
      <c r="AA52" s="43"/>
      <c r="AB52" s="43"/>
      <c r="AC52" s="43"/>
    </row>
    <row r="53" ht="12.75" customHeight="1" spans="1:29">
      <c r="A53" s="37"/>
      <c r="B53" s="37"/>
      <c r="C53" s="38"/>
      <c r="D53" s="39"/>
      <c r="E53" s="39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43"/>
      <c r="T53" s="44"/>
      <c r="U53" s="43"/>
      <c r="V53" s="43"/>
      <c r="W53" s="43"/>
      <c r="X53" s="43"/>
      <c r="Y53" s="43"/>
      <c r="Z53" s="43"/>
      <c r="AA53" s="43"/>
      <c r="AB53" s="43"/>
      <c r="AC53" s="43"/>
    </row>
    <row r="54" ht="12.75" customHeight="1" spans="1:29">
      <c r="A54" s="37"/>
      <c r="B54" s="37"/>
      <c r="C54" s="38"/>
      <c r="D54" s="39"/>
      <c r="E54" s="39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43"/>
      <c r="T54" s="44"/>
      <c r="U54" s="43"/>
      <c r="V54" s="43"/>
      <c r="W54" s="43"/>
      <c r="X54" s="43"/>
      <c r="Y54" s="43"/>
      <c r="Z54" s="43"/>
      <c r="AA54" s="43"/>
      <c r="AB54" s="43"/>
      <c r="AC54" s="43"/>
    </row>
    <row r="55" ht="12.75" customHeight="1" spans="1:29">
      <c r="A55" s="37"/>
      <c r="B55" s="37"/>
      <c r="C55" s="38"/>
      <c r="D55" s="39"/>
      <c r="E55" s="39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43"/>
      <c r="T55" s="44"/>
      <c r="U55" s="43"/>
      <c r="V55" s="43"/>
      <c r="W55" s="43"/>
      <c r="X55" s="43"/>
      <c r="Y55" s="43"/>
      <c r="Z55" s="43"/>
      <c r="AA55" s="43"/>
      <c r="AB55" s="43"/>
      <c r="AC55" s="43"/>
    </row>
    <row r="56" ht="12.75" customHeight="1" spans="1:29">
      <c r="A56" s="37"/>
      <c r="B56" s="37"/>
      <c r="C56" s="38"/>
      <c r="D56" s="39"/>
      <c r="E56" s="39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43"/>
      <c r="T56" s="44"/>
      <c r="U56" s="43"/>
      <c r="V56" s="43"/>
      <c r="W56" s="43"/>
      <c r="X56" s="43"/>
      <c r="Y56" s="43"/>
      <c r="Z56" s="43"/>
      <c r="AA56" s="43"/>
      <c r="AB56" s="43"/>
      <c r="AC56" s="43"/>
    </row>
    <row r="57" ht="12.75" customHeight="1" spans="1:29">
      <c r="A57" s="37"/>
      <c r="B57" s="37"/>
      <c r="C57" s="38"/>
      <c r="D57" s="39"/>
      <c r="E57" s="39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43"/>
      <c r="T57" s="44"/>
      <c r="U57" s="43"/>
      <c r="V57" s="43"/>
      <c r="W57" s="43"/>
      <c r="X57" s="43"/>
      <c r="Y57" s="43"/>
      <c r="Z57" s="43"/>
      <c r="AA57" s="43"/>
      <c r="AB57" s="43"/>
      <c r="AC57" s="43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43"/>
      <c r="C205" s="58"/>
      <c r="D205" s="59"/>
      <c r="E205" s="59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43"/>
      <c r="C206" s="58"/>
      <c r="D206" s="59"/>
      <c r="E206" s="59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43"/>
      <c r="C207" s="58"/>
      <c r="D207" s="59"/>
      <c r="E207" s="59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43"/>
      <c r="C208" s="58"/>
      <c r="D208" s="59"/>
      <c r="E208" s="59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43"/>
      <c r="C209" s="58"/>
      <c r="D209" s="59"/>
      <c r="E209" s="59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43"/>
      <c r="C210" s="58"/>
      <c r="D210" s="59"/>
      <c r="E210" s="59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43"/>
      <c r="C211" s="58"/>
      <c r="D211" s="59"/>
      <c r="E211" s="59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43"/>
      <c r="C212" s="58"/>
      <c r="D212" s="59"/>
      <c r="E212" s="59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43"/>
      <c r="C213" s="58"/>
      <c r="D213" s="59"/>
      <c r="E213" s="59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43"/>
      <c r="C214" s="58"/>
      <c r="D214" s="59"/>
      <c r="E214" s="59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43"/>
      <c r="C215" s="58"/>
      <c r="D215" s="59"/>
      <c r="E215" s="59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43"/>
      <c r="C216" s="58"/>
      <c r="D216" s="59"/>
      <c r="E216" s="59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43"/>
      <c r="C217" s="58"/>
      <c r="D217" s="59"/>
      <c r="E217" s="59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43"/>
      <c r="C218" s="58"/>
      <c r="D218" s="59"/>
      <c r="E218" s="59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43"/>
      <c r="C219" s="58"/>
      <c r="D219" s="59"/>
      <c r="E219" s="59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43"/>
      <c r="C220" s="58"/>
      <c r="D220" s="59"/>
      <c r="E220" s="59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43"/>
      <c r="C221" s="58"/>
      <c r="D221" s="59"/>
      <c r="E221" s="59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43"/>
      <c r="C222" s="58"/>
      <c r="D222" s="59"/>
      <c r="E222" s="59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43"/>
      <c r="C223" s="58"/>
      <c r="D223" s="59"/>
      <c r="E223" s="59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43"/>
      <c r="C224" s="58"/>
      <c r="D224" s="59"/>
      <c r="E224" s="59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43"/>
      <c r="C225" s="58"/>
      <c r="D225" s="59"/>
      <c r="E225" s="59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43"/>
      <c r="C226" s="58"/>
      <c r="D226" s="59"/>
      <c r="E226" s="59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43"/>
      <c r="C227" s="58"/>
      <c r="D227" s="59"/>
      <c r="E227" s="59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43"/>
      <c r="C228" s="58"/>
      <c r="D228" s="59"/>
      <c r="E228" s="59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11:G44 H2:H3 L11:L44 M2:M3 O11:O44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04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126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COUNTA(B11:B944)-COUNTIF($N11:$N944,"Skip")</f>
        <v>37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COUNTIF($G11:$G944,C5)</f>
        <v>37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COUNTIF($L11:$L944,C5)</f>
        <v>37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COUNTIF($O11:$O944,C5)</f>
        <v>37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66" spans="1:29">
      <c r="A11" s="30" t="s">
        <v>125</v>
      </c>
      <c r="B11" s="30" t="s">
        <v>2183</v>
      </c>
      <c r="C11" s="30" t="s">
        <v>2184</v>
      </c>
      <c r="D11" s="31" t="s">
        <v>1959</v>
      </c>
      <c r="E11" s="31" t="s">
        <v>2185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305</v>
      </c>
      <c r="L11" s="42" t="s">
        <v>209</v>
      </c>
      <c r="M11" s="40">
        <v>45993</v>
      </c>
      <c r="N11" s="41" t="s">
        <v>305</v>
      </c>
      <c r="O11" s="42" t="s">
        <v>209</v>
      </c>
      <c r="P11" s="40">
        <v>45995</v>
      </c>
      <c r="Q11" s="41" t="s">
        <v>305</v>
      </c>
      <c r="R11" s="3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79.2" spans="1:29">
      <c r="A12" s="30" t="s">
        <v>125</v>
      </c>
      <c r="B12" s="30" t="s">
        <v>2186</v>
      </c>
      <c r="C12" s="30" t="s">
        <v>2187</v>
      </c>
      <c r="D12" s="31" t="s">
        <v>2064</v>
      </c>
      <c r="E12" s="31" t="s">
        <v>2188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305</v>
      </c>
      <c r="L12" s="42" t="s">
        <v>209</v>
      </c>
      <c r="M12" s="40">
        <v>45993</v>
      </c>
      <c r="N12" s="41" t="s">
        <v>305</v>
      </c>
      <c r="O12" s="42" t="s">
        <v>209</v>
      </c>
      <c r="P12" s="40">
        <v>45995</v>
      </c>
      <c r="Q12" s="41" t="s">
        <v>305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66" spans="1:29">
      <c r="A13" s="30" t="s">
        <v>125</v>
      </c>
      <c r="B13" s="30" t="s">
        <v>2189</v>
      </c>
      <c r="C13" s="30" t="s">
        <v>2190</v>
      </c>
      <c r="D13" s="31" t="s">
        <v>1963</v>
      </c>
      <c r="E13" s="31" t="s">
        <v>2026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305</v>
      </c>
      <c r="L13" s="42" t="s">
        <v>209</v>
      </c>
      <c r="M13" s="40">
        <v>45993</v>
      </c>
      <c r="N13" s="41" t="s">
        <v>305</v>
      </c>
      <c r="O13" s="42" t="s">
        <v>209</v>
      </c>
      <c r="P13" s="40">
        <v>45995</v>
      </c>
      <c r="Q13" s="41" t="s">
        <v>305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66" spans="1:29">
      <c r="A14" s="30" t="s">
        <v>125</v>
      </c>
      <c r="B14" s="30" t="s">
        <v>2191</v>
      </c>
      <c r="C14" s="30" t="s">
        <v>2192</v>
      </c>
      <c r="D14" s="31" t="s">
        <v>1967</v>
      </c>
      <c r="E14" s="31" t="s">
        <v>2026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305</v>
      </c>
      <c r="L14" s="42" t="s">
        <v>209</v>
      </c>
      <c r="M14" s="40">
        <v>45993</v>
      </c>
      <c r="N14" s="41" t="s">
        <v>305</v>
      </c>
      <c r="O14" s="42" t="s">
        <v>209</v>
      </c>
      <c r="P14" s="40">
        <v>45995</v>
      </c>
      <c r="Q14" s="41" t="s">
        <v>305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66" spans="1:29">
      <c r="A15" s="30" t="s">
        <v>125</v>
      </c>
      <c r="B15" s="30" t="s">
        <v>2193</v>
      </c>
      <c r="C15" s="30" t="s">
        <v>2194</v>
      </c>
      <c r="D15" s="31" t="s">
        <v>1970</v>
      </c>
      <c r="E15" s="31" t="s">
        <v>2026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305</v>
      </c>
      <c r="L15" s="42" t="s">
        <v>209</v>
      </c>
      <c r="M15" s="40">
        <v>45993</v>
      </c>
      <c r="N15" s="41" t="s">
        <v>305</v>
      </c>
      <c r="O15" s="42" t="s">
        <v>209</v>
      </c>
      <c r="P15" s="40">
        <v>45995</v>
      </c>
      <c r="Q15" s="41" t="s">
        <v>305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66" spans="1:29">
      <c r="A16" s="30" t="s">
        <v>125</v>
      </c>
      <c r="B16" s="30" t="s">
        <v>2195</v>
      </c>
      <c r="C16" s="30" t="s">
        <v>2196</v>
      </c>
      <c r="D16" s="31" t="s">
        <v>1959</v>
      </c>
      <c r="E16" s="31" t="s">
        <v>2185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305</v>
      </c>
      <c r="L16" s="42" t="s">
        <v>209</v>
      </c>
      <c r="M16" s="40">
        <v>45993</v>
      </c>
      <c r="N16" s="41" t="s">
        <v>305</v>
      </c>
      <c r="O16" s="42" t="s">
        <v>209</v>
      </c>
      <c r="P16" s="40">
        <v>45995</v>
      </c>
      <c r="Q16" s="41" t="s">
        <v>305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66" spans="1:29">
      <c r="A17" s="30" t="s">
        <v>125</v>
      </c>
      <c r="B17" s="30" t="s">
        <v>2197</v>
      </c>
      <c r="C17" s="30" t="s">
        <v>2198</v>
      </c>
      <c r="D17" s="31" t="s">
        <v>2077</v>
      </c>
      <c r="E17" s="31" t="s">
        <v>2185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305</v>
      </c>
      <c r="L17" s="42" t="s">
        <v>209</v>
      </c>
      <c r="M17" s="40">
        <v>45993</v>
      </c>
      <c r="N17" s="41" t="s">
        <v>305</v>
      </c>
      <c r="O17" s="42" t="s">
        <v>209</v>
      </c>
      <c r="P17" s="40">
        <v>45995</v>
      </c>
      <c r="Q17" s="41" t="s">
        <v>305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105.6" spans="1:29">
      <c r="A18" s="30" t="s">
        <v>127</v>
      </c>
      <c r="B18" s="30" t="s">
        <v>2199</v>
      </c>
      <c r="C18" s="30" t="s">
        <v>2200</v>
      </c>
      <c r="D18" s="31" t="s">
        <v>2201</v>
      </c>
      <c r="E18" s="31" t="s">
        <v>2202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305</v>
      </c>
      <c r="L18" s="42" t="s">
        <v>209</v>
      </c>
      <c r="M18" s="40">
        <v>45993</v>
      </c>
      <c r="N18" s="41" t="s">
        <v>305</v>
      </c>
      <c r="O18" s="42" t="s">
        <v>209</v>
      </c>
      <c r="P18" s="40">
        <v>45995</v>
      </c>
      <c r="Q18" s="41" t="s">
        <v>305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158.4" spans="1:29">
      <c r="A19" s="30" t="s">
        <v>127</v>
      </c>
      <c r="B19" s="30" t="s">
        <v>2203</v>
      </c>
      <c r="C19" s="30" t="s">
        <v>2204</v>
      </c>
      <c r="D19" s="31" t="s">
        <v>2205</v>
      </c>
      <c r="E19" s="31" t="s">
        <v>2202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305</v>
      </c>
      <c r="L19" s="42" t="s">
        <v>209</v>
      </c>
      <c r="M19" s="40">
        <v>45993</v>
      </c>
      <c r="N19" s="41" t="s">
        <v>305</v>
      </c>
      <c r="O19" s="42" t="s">
        <v>209</v>
      </c>
      <c r="P19" s="40">
        <v>45995</v>
      </c>
      <c r="Q19" s="41" t="s">
        <v>305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105.6" spans="1:29">
      <c r="A20" s="30" t="s">
        <v>127</v>
      </c>
      <c r="B20" s="30" t="s">
        <v>2206</v>
      </c>
      <c r="C20" s="30" t="s">
        <v>2207</v>
      </c>
      <c r="D20" s="31" t="s">
        <v>2208</v>
      </c>
      <c r="E20" s="31" t="s">
        <v>2026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305</v>
      </c>
      <c r="L20" s="42" t="s">
        <v>209</v>
      </c>
      <c r="M20" s="40">
        <v>45993</v>
      </c>
      <c r="N20" s="41" t="s">
        <v>305</v>
      </c>
      <c r="O20" s="42" t="s">
        <v>209</v>
      </c>
      <c r="P20" s="40">
        <v>45995</v>
      </c>
      <c r="Q20" s="41" t="s">
        <v>305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105.6" spans="1:29">
      <c r="A21" s="30" t="s">
        <v>127</v>
      </c>
      <c r="B21" s="30" t="s">
        <v>2209</v>
      </c>
      <c r="C21" s="30" t="s">
        <v>2210</v>
      </c>
      <c r="D21" s="31" t="s">
        <v>2211</v>
      </c>
      <c r="E21" s="31" t="s">
        <v>2026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305</v>
      </c>
      <c r="L21" s="42" t="s">
        <v>209</v>
      </c>
      <c r="M21" s="40">
        <v>45993</v>
      </c>
      <c r="N21" s="41" t="s">
        <v>305</v>
      </c>
      <c r="O21" s="42" t="s">
        <v>209</v>
      </c>
      <c r="P21" s="40">
        <v>45995</v>
      </c>
      <c r="Q21" s="41" t="s">
        <v>305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66" spans="1:29">
      <c r="A22" s="30" t="s">
        <v>127</v>
      </c>
      <c r="B22" s="30" t="s">
        <v>2212</v>
      </c>
      <c r="C22" s="30" t="s">
        <v>2213</v>
      </c>
      <c r="D22" s="31" t="s">
        <v>2214</v>
      </c>
      <c r="E22" s="31" t="s">
        <v>2215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305</v>
      </c>
      <c r="L22" s="42" t="s">
        <v>209</v>
      </c>
      <c r="M22" s="40">
        <v>45993</v>
      </c>
      <c r="N22" s="41" t="s">
        <v>305</v>
      </c>
      <c r="O22" s="42" t="s">
        <v>209</v>
      </c>
      <c r="P22" s="40">
        <v>45995</v>
      </c>
      <c r="Q22" s="41" t="s">
        <v>305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66" outlineLevel="1" spans="1:29">
      <c r="A23" s="30" t="s">
        <v>127</v>
      </c>
      <c r="B23" s="30" t="s">
        <v>2216</v>
      </c>
      <c r="C23" s="30" t="s">
        <v>2217</v>
      </c>
      <c r="D23" s="31" t="s">
        <v>2218</v>
      </c>
      <c r="E23" s="31" t="s">
        <v>2215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305</v>
      </c>
      <c r="L23" s="42" t="s">
        <v>209</v>
      </c>
      <c r="M23" s="40">
        <v>45993</v>
      </c>
      <c r="N23" s="41" t="s">
        <v>305</v>
      </c>
      <c r="O23" s="42" t="s">
        <v>209</v>
      </c>
      <c r="P23" s="40">
        <v>45995</v>
      </c>
      <c r="Q23" s="41" t="s">
        <v>305</v>
      </c>
      <c r="R23" s="30"/>
      <c r="S23" s="52"/>
      <c r="T23" s="53"/>
      <c r="U23" s="52"/>
      <c r="V23" s="52"/>
      <c r="W23" s="52"/>
      <c r="X23" s="52"/>
      <c r="Y23" s="52"/>
      <c r="Z23" s="52"/>
      <c r="AA23" s="52"/>
      <c r="AB23" s="52"/>
      <c r="AC23" s="52"/>
    </row>
    <row r="24" ht="118.8" outlineLevel="1" spans="1:29">
      <c r="A24" s="30" t="s">
        <v>127</v>
      </c>
      <c r="B24" s="30" t="s">
        <v>2219</v>
      </c>
      <c r="C24" s="30" t="s">
        <v>2220</v>
      </c>
      <c r="D24" s="31" t="s">
        <v>2221</v>
      </c>
      <c r="E24" s="31" t="s">
        <v>2222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305</v>
      </c>
      <c r="L24" s="42" t="s">
        <v>209</v>
      </c>
      <c r="M24" s="40">
        <v>45993</v>
      </c>
      <c r="N24" s="41" t="s">
        <v>305</v>
      </c>
      <c r="O24" s="42" t="s">
        <v>209</v>
      </c>
      <c r="P24" s="40">
        <v>45995</v>
      </c>
      <c r="Q24" s="41" t="s">
        <v>305</v>
      </c>
      <c r="R24" s="30"/>
      <c r="S24" s="43"/>
      <c r="T24" s="53"/>
      <c r="U24" s="43"/>
      <c r="V24" s="43"/>
      <c r="W24" s="43"/>
      <c r="X24" s="43"/>
      <c r="Y24" s="43"/>
      <c r="Z24" s="43"/>
      <c r="AA24" s="43"/>
      <c r="AB24" s="43"/>
      <c r="AC24" s="43"/>
    </row>
    <row r="25" ht="105.6" outlineLevel="1" spans="1:29">
      <c r="A25" s="30" t="s">
        <v>127</v>
      </c>
      <c r="B25" s="30" t="s">
        <v>2223</v>
      </c>
      <c r="C25" s="30" t="s">
        <v>2224</v>
      </c>
      <c r="D25" s="31" t="s">
        <v>2225</v>
      </c>
      <c r="E25" s="31" t="s">
        <v>2226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305</v>
      </c>
      <c r="L25" s="42" t="s">
        <v>209</v>
      </c>
      <c r="M25" s="40">
        <v>45993</v>
      </c>
      <c r="N25" s="41" t="s">
        <v>305</v>
      </c>
      <c r="O25" s="42" t="s">
        <v>209</v>
      </c>
      <c r="P25" s="40">
        <v>45995</v>
      </c>
      <c r="Q25" s="41" t="s">
        <v>305</v>
      </c>
      <c r="R25" s="30"/>
      <c r="S25" s="43"/>
      <c r="T25" s="53"/>
      <c r="U25" s="43"/>
      <c r="V25" s="43"/>
      <c r="W25" s="43"/>
      <c r="X25" s="43"/>
      <c r="Y25" s="43"/>
      <c r="Z25" s="43"/>
      <c r="AA25" s="43"/>
      <c r="AB25" s="43"/>
      <c r="AC25" s="43"/>
    </row>
    <row r="26" ht="158.4" outlineLevel="1" spans="1:29">
      <c r="A26" s="30" t="s">
        <v>127</v>
      </c>
      <c r="B26" s="30" t="s">
        <v>2227</v>
      </c>
      <c r="C26" s="30" t="s">
        <v>2228</v>
      </c>
      <c r="D26" s="31" t="s">
        <v>2229</v>
      </c>
      <c r="E26" s="31" t="s">
        <v>2230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305</v>
      </c>
      <c r="L26" s="42" t="s">
        <v>209</v>
      </c>
      <c r="M26" s="40">
        <v>45993</v>
      </c>
      <c r="N26" s="41" t="s">
        <v>305</v>
      </c>
      <c r="O26" s="42" t="s">
        <v>209</v>
      </c>
      <c r="P26" s="40">
        <v>45995</v>
      </c>
      <c r="Q26" s="41" t="s">
        <v>305</v>
      </c>
      <c r="R26" s="30"/>
      <c r="S26" s="43"/>
      <c r="T26" s="53"/>
      <c r="U26" s="43"/>
      <c r="V26" s="43"/>
      <c r="W26" s="43"/>
      <c r="X26" s="43"/>
      <c r="Y26" s="43"/>
      <c r="Z26" s="43"/>
      <c r="AA26" s="43"/>
      <c r="AB26" s="43"/>
      <c r="AC26" s="43"/>
    </row>
    <row r="27" ht="105.6" outlineLevel="1" spans="1:29">
      <c r="A27" s="30" t="s">
        <v>127</v>
      </c>
      <c r="B27" s="30" t="s">
        <v>2231</v>
      </c>
      <c r="C27" s="30" t="s">
        <v>2232</v>
      </c>
      <c r="D27" s="31" t="s">
        <v>2233</v>
      </c>
      <c r="E27" s="31" t="s">
        <v>2234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305</v>
      </c>
      <c r="L27" s="42" t="s">
        <v>209</v>
      </c>
      <c r="M27" s="40">
        <v>45993</v>
      </c>
      <c r="N27" s="41" t="s">
        <v>305</v>
      </c>
      <c r="O27" s="42" t="s">
        <v>209</v>
      </c>
      <c r="P27" s="40">
        <v>45995</v>
      </c>
      <c r="Q27" s="41" t="s">
        <v>305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132" outlineLevel="1" spans="1:29">
      <c r="A28" s="30" t="s">
        <v>127</v>
      </c>
      <c r="B28" s="30" t="s">
        <v>2235</v>
      </c>
      <c r="C28" s="30" t="s">
        <v>2236</v>
      </c>
      <c r="D28" s="31" t="s">
        <v>2237</v>
      </c>
      <c r="E28" s="31" t="s">
        <v>2238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305</v>
      </c>
      <c r="L28" s="42" t="s">
        <v>209</v>
      </c>
      <c r="M28" s="40">
        <v>45993</v>
      </c>
      <c r="N28" s="41" t="s">
        <v>305</v>
      </c>
      <c r="O28" s="42" t="s">
        <v>209</v>
      </c>
      <c r="P28" s="40">
        <v>45995</v>
      </c>
      <c r="Q28" s="41" t="s">
        <v>305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105.6" outlineLevel="1" spans="1:29">
      <c r="A29" s="30" t="s">
        <v>127</v>
      </c>
      <c r="B29" s="30" t="s">
        <v>2239</v>
      </c>
      <c r="C29" s="30" t="s">
        <v>2240</v>
      </c>
      <c r="D29" s="31" t="s">
        <v>2241</v>
      </c>
      <c r="E29" s="31" t="s">
        <v>2242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305</v>
      </c>
      <c r="L29" s="42" t="s">
        <v>209</v>
      </c>
      <c r="M29" s="40">
        <v>45993</v>
      </c>
      <c r="N29" s="41" t="s">
        <v>305</v>
      </c>
      <c r="O29" s="42" t="s">
        <v>209</v>
      </c>
      <c r="P29" s="40">
        <v>45995</v>
      </c>
      <c r="Q29" s="41" t="s">
        <v>305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105.6" outlineLevel="1" spans="1:29">
      <c r="A30" s="30" t="s">
        <v>128</v>
      </c>
      <c r="B30" s="30" t="s">
        <v>2243</v>
      </c>
      <c r="C30" s="30" t="s">
        <v>2244</v>
      </c>
      <c r="D30" s="31" t="s">
        <v>2245</v>
      </c>
      <c r="E30" s="31" t="s">
        <v>2246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305</v>
      </c>
      <c r="L30" s="42" t="s">
        <v>209</v>
      </c>
      <c r="M30" s="40">
        <v>45993</v>
      </c>
      <c r="N30" s="41" t="s">
        <v>305</v>
      </c>
      <c r="O30" s="42" t="s">
        <v>209</v>
      </c>
      <c r="P30" s="40">
        <v>45995</v>
      </c>
      <c r="Q30" s="41" t="s">
        <v>305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66" outlineLevel="1" spans="1:29">
      <c r="A31" s="30" t="s">
        <v>128</v>
      </c>
      <c r="B31" s="30" t="s">
        <v>2247</v>
      </c>
      <c r="C31" s="30" t="s">
        <v>2248</v>
      </c>
      <c r="D31" s="31" t="s">
        <v>2249</v>
      </c>
      <c r="E31" s="31" t="s">
        <v>2250</v>
      </c>
      <c r="F31" s="30" t="s">
        <v>237</v>
      </c>
      <c r="G31" s="32" t="s">
        <v>209</v>
      </c>
      <c r="H31" s="33"/>
      <c r="I31" s="33"/>
      <c r="J31" s="40">
        <v>45991</v>
      </c>
      <c r="K31" s="41" t="s">
        <v>305</v>
      </c>
      <c r="L31" s="42" t="s">
        <v>209</v>
      </c>
      <c r="M31" s="40">
        <v>45993</v>
      </c>
      <c r="N31" s="41" t="s">
        <v>305</v>
      </c>
      <c r="O31" s="42" t="s">
        <v>209</v>
      </c>
      <c r="P31" s="40">
        <v>45995</v>
      </c>
      <c r="Q31" s="41" t="s">
        <v>305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66" outlineLevel="1" spans="1:29">
      <c r="A32" s="30" t="s">
        <v>128</v>
      </c>
      <c r="B32" s="30" t="s">
        <v>2251</v>
      </c>
      <c r="C32" s="30" t="s">
        <v>2252</v>
      </c>
      <c r="D32" s="31" t="s">
        <v>2253</v>
      </c>
      <c r="E32" s="31" t="s">
        <v>2250</v>
      </c>
      <c r="F32" s="30" t="s">
        <v>237</v>
      </c>
      <c r="G32" s="32" t="s">
        <v>209</v>
      </c>
      <c r="H32" s="33"/>
      <c r="I32" s="33"/>
      <c r="J32" s="40">
        <v>45991</v>
      </c>
      <c r="K32" s="41" t="s">
        <v>305</v>
      </c>
      <c r="L32" s="42" t="s">
        <v>209</v>
      </c>
      <c r="M32" s="40">
        <v>45993</v>
      </c>
      <c r="N32" s="41" t="s">
        <v>305</v>
      </c>
      <c r="O32" s="42" t="s">
        <v>209</v>
      </c>
      <c r="P32" s="40">
        <v>45995</v>
      </c>
      <c r="Q32" s="41" t="s">
        <v>305</v>
      </c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79.2" outlineLevel="1" spans="1:29">
      <c r="A33" s="30" t="s">
        <v>128</v>
      </c>
      <c r="B33" s="30" t="s">
        <v>2254</v>
      </c>
      <c r="C33" s="30" t="s">
        <v>2255</v>
      </c>
      <c r="D33" s="31" t="s">
        <v>2256</v>
      </c>
      <c r="E33" s="31" t="s">
        <v>2257</v>
      </c>
      <c r="F33" s="30" t="s">
        <v>237</v>
      </c>
      <c r="G33" s="32" t="s">
        <v>209</v>
      </c>
      <c r="H33" s="33"/>
      <c r="I33" s="33"/>
      <c r="J33" s="40">
        <v>45991</v>
      </c>
      <c r="K33" s="41" t="s">
        <v>305</v>
      </c>
      <c r="L33" s="42" t="s">
        <v>209</v>
      </c>
      <c r="M33" s="40">
        <v>45993</v>
      </c>
      <c r="N33" s="41" t="s">
        <v>305</v>
      </c>
      <c r="O33" s="42" t="s">
        <v>209</v>
      </c>
      <c r="P33" s="40">
        <v>45995</v>
      </c>
      <c r="Q33" s="41" t="s">
        <v>305</v>
      </c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79.2" outlineLevel="1" spans="1:29">
      <c r="A34" s="30" t="s">
        <v>128</v>
      </c>
      <c r="B34" s="30" t="s">
        <v>2258</v>
      </c>
      <c r="C34" s="30" t="s">
        <v>2259</v>
      </c>
      <c r="D34" s="31" t="s">
        <v>2260</v>
      </c>
      <c r="E34" s="31" t="s">
        <v>2261</v>
      </c>
      <c r="F34" s="30" t="s">
        <v>237</v>
      </c>
      <c r="G34" s="32" t="s">
        <v>209</v>
      </c>
      <c r="H34" s="33"/>
      <c r="I34" s="33"/>
      <c r="J34" s="40">
        <v>45991</v>
      </c>
      <c r="K34" s="41" t="s">
        <v>305</v>
      </c>
      <c r="L34" s="42" t="s">
        <v>209</v>
      </c>
      <c r="M34" s="40">
        <v>45993</v>
      </c>
      <c r="N34" s="41" t="s">
        <v>305</v>
      </c>
      <c r="O34" s="42" t="s">
        <v>209</v>
      </c>
      <c r="P34" s="40">
        <v>45995</v>
      </c>
      <c r="Q34" s="41" t="s">
        <v>305</v>
      </c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92.4" outlineLevel="1" spans="1:29">
      <c r="A35" s="30" t="s">
        <v>128</v>
      </c>
      <c r="B35" s="30" t="s">
        <v>2262</v>
      </c>
      <c r="C35" s="30" t="s">
        <v>2263</v>
      </c>
      <c r="D35" s="31" t="s">
        <v>2264</v>
      </c>
      <c r="E35" s="31" t="s">
        <v>2265</v>
      </c>
      <c r="F35" s="30" t="s">
        <v>237</v>
      </c>
      <c r="G35" s="32" t="s">
        <v>209</v>
      </c>
      <c r="H35" s="33"/>
      <c r="I35" s="33"/>
      <c r="J35" s="40">
        <v>45991</v>
      </c>
      <c r="K35" s="41" t="s">
        <v>305</v>
      </c>
      <c r="L35" s="42" t="s">
        <v>209</v>
      </c>
      <c r="M35" s="40">
        <v>45993</v>
      </c>
      <c r="N35" s="41" t="s">
        <v>305</v>
      </c>
      <c r="O35" s="42" t="s">
        <v>209</v>
      </c>
      <c r="P35" s="40">
        <v>45995</v>
      </c>
      <c r="Q35" s="41" t="s">
        <v>305</v>
      </c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79.2" outlineLevel="1" spans="1:29">
      <c r="A36" s="30" t="s">
        <v>128</v>
      </c>
      <c r="B36" s="30" t="s">
        <v>2266</v>
      </c>
      <c r="C36" s="30" t="s">
        <v>2267</v>
      </c>
      <c r="D36" s="31" t="s">
        <v>2268</v>
      </c>
      <c r="E36" s="31" t="s">
        <v>2269</v>
      </c>
      <c r="F36" s="30" t="s">
        <v>237</v>
      </c>
      <c r="G36" s="32" t="s">
        <v>209</v>
      </c>
      <c r="H36" s="33"/>
      <c r="I36" s="33"/>
      <c r="J36" s="40">
        <v>45991</v>
      </c>
      <c r="K36" s="41" t="s">
        <v>305</v>
      </c>
      <c r="L36" s="42" t="s">
        <v>209</v>
      </c>
      <c r="M36" s="40">
        <v>45993</v>
      </c>
      <c r="N36" s="41" t="s">
        <v>305</v>
      </c>
      <c r="O36" s="42" t="s">
        <v>209</v>
      </c>
      <c r="P36" s="40">
        <v>45995</v>
      </c>
      <c r="Q36" s="41" t="s">
        <v>305</v>
      </c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92.4" outlineLevel="1" spans="1:29">
      <c r="A37" s="30" t="s">
        <v>128</v>
      </c>
      <c r="B37" s="30" t="s">
        <v>2270</v>
      </c>
      <c r="C37" s="30" t="s">
        <v>2271</v>
      </c>
      <c r="D37" s="31" t="s">
        <v>2272</v>
      </c>
      <c r="E37" s="31" t="s">
        <v>2273</v>
      </c>
      <c r="F37" s="30" t="s">
        <v>237</v>
      </c>
      <c r="G37" s="32" t="s">
        <v>209</v>
      </c>
      <c r="H37" s="33"/>
      <c r="I37" s="33"/>
      <c r="J37" s="40">
        <v>45991</v>
      </c>
      <c r="K37" s="41" t="s">
        <v>305</v>
      </c>
      <c r="L37" s="42" t="s">
        <v>209</v>
      </c>
      <c r="M37" s="40">
        <v>45993</v>
      </c>
      <c r="N37" s="41" t="s">
        <v>305</v>
      </c>
      <c r="O37" s="42" t="s">
        <v>209</v>
      </c>
      <c r="P37" s="40">
        <v>45995</v>
      </c>
      <c r="Q37" s="41" t="s">
        <v>305</v>
      </c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79.2" outlineLevel="1" spans="1:29">
      <c r="A38" s="30" t="s">
        <v>128</v>
      </c>
      <c r="B38" s="30" t="s">
        <v>2274</v>
      </c>
      <c r="C38" s="30" t="s">
        <v>2275</v>
      </c>
      <c r="D38" s="31" t="s">
        <v>2276</v>
      </c>
      <c r="E38" s="31" t="s">
        <v>2246</v>
      </c>
      <c r="F38" s="30" t="s">
        <v>237</v>
      </c>
      <c r="G38" s="32" t="s">
        <v>209</v>
      </c>
      <c r="H38" s="33"/>
      <c r="I38" s="33"/>
      <c r="J38" s="40">
        <v>45991</v>
      </c>
      <c r="K38" s="41" t="s">
        <v>305</v>
      </c>
      <c r="L38" s="42" t="s">
        <v>209</v>
      </c>
      <c r="M38" s="40">
        <v>45993</v>
      </c>
      <c r="N38" s="41" t="s">
        <v>305</v>
      </c>
      <c r="O38" s="42" t="s">
        <v>209</v>
      </c>
      <c r="P38" s="40">
        <v>45995</v>
      </c>
      <c r="Q38" s="41" t="s">
        <v>305</v>
      </c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66" outlineLevel="1" spans="1:29">
      <c r="A39" s="30" t="s">
        <v>129</v>
      </c>
      <c r="B39" s="30" t="s">
        <v>2277</v>
      </c>
      <c r="C39" s="30" t="s">
        <v>2278</v>
      </c>
      <c r="D39" s="31" t="s">
        <v>2279</v>
      </c>
      <c r="E39" s="31" t="s">
        <v>2280</v>
      </c>
      <c r="F39" s="30" t="s">
        <v>237</v>
      </c>
      <c r="G39" s="32" t="s">
        <v>209</v>
      </c>
      <c r="H39" s="33"/>
      <c r="I39" s="33"/>
      <c r="J39" s="40">
        <v>45991</v>
      </c>
      <c r="K39" s="41" t="s">
        <v>305</v>
      </c>
      <c r="L39" s="42" t="s">
        <v>209</v>
      </c>
      <c r="M39" s="40">
        <v>45993</v>
      </c>
      <c r="N39" s="41" t="s">
        <v>305</v>
      </c>
      <c r="O39" s="42" t="s">
        <v>209</v>
      </c>
      <c r="P39" s="40">
        <v>45995</v>
      </c>
      <c r="Q39" s="41" t="s">
        <v>305</v>
      </c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66" spans="1:29">
      <c r="A40" s="30" t="s">
        <v>129</v>
      </c>
      <c r="B40" s="30" t="s">
        <v>2281</v>
      </c>
      <c r="C40" s="30" t="s">
        <v>2282</v>
      </c>
      <c r="D40" s="31" t="s">
        <v>2283</v>
      </c>
      <c r="E40" s="31" t="s">
        <v>2280</v>
      </c>
      <c r="F40" s="30" t="s">
        <v>237</v>
      </c>
      <c r="G40" s="32" t="s">
        <v>209</v>
      </c>
      <c r="H40" s="33"/>
      <c r="I40" s="33"/>
      <c r="J40" s="40">
        <v>45991</v>
      </c>
      <c r="K40" s="41" t="s">
        <v>305</v>
      </c>
      <c r="L40" s="42" t="s">
        <v>209</v>
      </c>
      <c r="M40" s="40">
        <v>45993</v>
      </c>
      <c r="N40" s="41" t="s">
        <v>305</v>
      </c>
      <c r="O40" s="42" t="s">
        <v>209</v>
      </c>
      <c r="P40" s="40">
        <v>45995</v>
      </c>
      <c r="Q40" s="41" t="s">
        <v>305</v>
      </c>
      <c r="R40" s="30"/>
      <c r="S40" s="47"/>
      <c r="T40" s="51"/>
      <c r="U40" s="47"/>
      <c r="V40" s="47"/>
      <c r="W40" s="47"/>
      <c r="X40" s="47"/>
      <c r="Y40" s="47"/>
      <c r="Z40" s="47"/>
      <c r="AA40" s="47"/>
      <c r="AB40" s="47"/>
      <c r="AC40" s="47"/>
    </row>
    <row r="41" ht="66" spans="1:29">
      <c r="A41" s="30" t="s">
        <v>129</v>
      </c>
      <c r="B41" s="30" t="s">
        <v>2284</v>
      </c>
      <c r="C41" s="30" t="s">
        <v>2285</v>
      </c>
      <c r="D41" s="31" t="s">
        <v>2286</v>
      </c>
      <c r="E41" s="31" t="s">
        <v>2287</v>
      </c>
      <c r="F41" s="30" t="s">
        <v>237</v>
      </c>
      <c r="G41" s="32" t="s">
        <v>209</v>
      </c>
      <c r="H41" s="33"/>
      <c r="I41" s="33"/>
      <c r="J41" s="40">
        <v>45991</v>
      </c>
      <c r="K41" s="41" t="s">
        <v>305</v>
      </c>
      <c r="L41" s="42" t="s">
        <v>209</v>
      </c>
      <c r="M41" s="40">
        <v>45993</v>
      </c>
      <c r="N41" s="41" t="s">
        <v>305</v>
      </c>
      <c r="O41" s="42" t="s">
        <v>209</v>
      </c>
      <c r="P41" s="40">
        <v>45995</v>
      </c>
      <c r="Q41" s="41" t="s">
        <v>305</v>
      </c>
      <c r="R41" s="30"/>
      <c r="S41" s="54"/>
      <c r="T41" s="55"/>
      <c r="U41" s="54"/>
      <c r="V41" s="54"/>
      <c r="W41" s="54"/>
      <c r="X41" s="54"/>
      <c r="Y41" s="54"/>
      <c r="Z41" s="54"/>
      <c r="AA41" s="54"/>
      <c r="AB41" s="54"/>
      <c r="AC41" s="54"/>
    </row>
    <row r="42" ht="66" spans="1:29">
      <c r="A42" s="30" t="s">
        <v>129</v>
      </c>
      <c r="B42" s="30" t="s">
        <v>2288</v>
      </c>
      <c r="C42" s="30" t="s">
        <v>2289</v>
      </c>
      <c r="D42" s="31" t="s">
        <v>2290</v>
      </c>
      <c r="E42" s="31" t="s">
        <v>2287</v>
      </c>
      <c r="F42" s="30" t="s">
        <v>237</v>
      </c>
      <c r="G42" s="32" t="s">
        <v>209</v>
      </c>
      <c r="H42" s="33"/>
      <c r="I42" s="33"/>
      <c r="J42" s="40">
        <v>45991</v>
      </c>
      <c r="K42" s="41" t="s">
        <v>305</v>
      </c>
      <c r="L42" s="42" t="s">
        <v>209</v>
      </c>
      <c r="M42" s="40">
        <v>45993</v>
      </c>
      <c r="N42" s="41" t="s">
        <v>305</v>
      </c>
      <c r="O42" s="42" t="s">
        <v>209</v>
      </c>
      <c r="P42" s="40">
        <v>45995</v>
      </c>
      <c r="Q42" s="41" t="s">
        <v>305</v>
      </c>
      <c r="R42" s="30"/>
      <c r="S42" s="54"/>
      <c r="T42" s="55"/>
      <c r="U42" s="54"/>
      <c r="V42" s="54"/>
      <c r="W42" s="54"/>
      <c r="X42" s="54"/>
      <c r="Y42" s="54"/>
      <c r="Z42" s="54"/>
      <c r="AA42" s="54"/>
      <c r="AB42" s="54"/>
      <c r="AC42" s="54"/>
    </row>
    <row r="43" ht="66" outlineLevel="1" spans="1:29">
      <c r="A43" s="30" t="s">
        <v>129</v>
      </c>
      <c r="B43" s="30" t="s">
        <v>2291</v>
      </c>
      <c r="C43" s="30" t="s">
        <v>2292</v>
      </c>
      <c r="D43" s="31" t="s">
        <v>2293</v>
      </c>
      <c r="E43" s="31" t="s">
        <v>2287</v>
      </c>
      <c r="F43" s="30" t="s">
        <v>237</v>
      </c>
      <c r="G43" s="32" t="s">
        <v>209</v>
      </c>
      <c r="H43" s="33"/>
      <c r="I43" s="33"/>
      <c r="J43" s="40">
        <v>45991</v>
      </c>
      <c r="K43" s="41" t="s">
        <v>305</v>
      </c>
      <c r="L43" s="42" t="s">
        <v>209</v>
      </c>
      <c r="M43" s="40">
        <v>45993</v>
      </c>
      <c r="N43" s="41" t="s">
        <v>305</v>
      </c>
      <c r="O43" s="42" t="s">
        <v>209</v>
      </c>
      <c r="P43" s="40">
        <v>45995</v>
      </c>
      <c r="Q43" s="41" t="s">
        <v>305</v>
      </c>
      <c r="R43" s="30"/>
      <c r="S43" s="37"/>
      <c r="T43" s="56"/>
      <c r="U43" s="37"/>
      <c r="V43" s="37"/>
      <c r="W43" s="37"/>
      <c r="X43" s="37"/>
      <c r="Y43" s="37"/>
      <c r="Z43" s="37"/>
      <c r="AA43" s="37"/>
      <c r="AB43" s="37"/>
      <c r="AC43" s="37"/>
    </row>
    <row r="44" ht="66" outlineLevel="1" spans="1:29">
      <c r="A44" s="30" t="s">
        <v>129</v>
      </c>
      <c r="B44" s="30" t="s">
        <v>2294</v>
      </c>
      <c r="C44" s="30" t="s">
        <v>2295</v>
      </c>
      <c r="D44" s="31" t="s">
        <v>2279</v>
      </c>
      <c r="E44" s="31" t="s">
        <v>2280</v>
      </c>
      <c r="F44" s="30" t="s">
        <v>237</v>
      </c>
      <c r="G44" s="32" t="s">
        <v>209</v>
      </c>
      <c r="H44" s="33"/>
      <c r="I44" s="33"/>
      <c r="J44" s="40">
        <v>45991</v>
      </c>
      <c r="K44" s="41" t="s">
        <v>305</v>
      </c>
      <c r="L44" s="42" t="s">
        <v>209</v>
      </c>
      <c r="M44" s="40">
        <v>45993</v>
      </c>
      <c r="N44" s="41" t="s">
        <v>305</v>
      </c>
      <c r="O44" s="42" t="s">
        <v>209</v>
      </c>
      <c r="P44" s="40">
        <v>45995</v>
      </c>
      <c r="Q44" s="41" t="s">
        <v>305</v>
      </c>
      <c r="R44" s="30"/>
      <c r="S44" s="37"/>
      <c r="T44" s="56"/>
      <c r="U44" s="37"/>
      <c r="V44" s="37"/>
      <c r="W44" s="37"/>
      <c r="X44" s="37"/>
      <c r="Y44" s="37"/>
      <c r="Z44" s="37"/>
      <c r="AA44" s="37"/>
      <c r="AB44" s="37"/>
      <c r="AC44" s="37"/>
    </row>
    <row r="45" ht="64.5" customHeight="1" outlineLevel="1" spans="1:29">
      <c r="A45" s="30" t="s">
        <v>129</v>
      </c>
      <c r="B45" s="30" t="s">
        <v>2296</v>
      </c>
      <c r="C45" s="30" t="s">
        <v>2297</v>
      </c>
      <c r="D45" s="31" t="s">
        <v>2298</v>
      </c>
      <c r="E45" s="31" t="s">
        <v>2287</v>
      </c>
      <c r="F45" s="30" t="s">
        <v>237</v>
      </c>
      <c r="G45" s="32" t="s">
        <v>209</v>
      </c>
      <c r="H45" s="33"/>
      <c r="I45" s="33"/>
      <c r="J45" s="40">
        <v>45991</v>
      </c>
      <c r="K45" s="41" t="s">
        <v>305</v>
      </c>
      <c r="L45" s="42" t="s">
        <v>209</v>
      </c>
      <c r="M45" s="40">
        <v>45993</v>
      </c>
      <c r="N45" s="41" t="s">
        <v>305</v>
      </c>
      <c r="O45" s="42" t="s">
        <v>209</v>
      </c>
      <c r="P45" s="40">
        <v>45995</v>
      </c>
      <c r="Q45" s="41" t="s">
        <v>305</v>
      </c>
      <c r="R45" s="30"/>
      <c r="S45" s="37"/>
      <c r="T45" s="57"/>
      <c r="U45" s="37"/>
      <c r="V45" s="37"/>
      <c r="W45" s="37"/>
      <c r="X45" s="37"/>
      <c r="Y45" s="37"/>
      <c r="Z45" s="37"/>
      <c r="AA45" s="37"/>
      <c r="AB45" s="37"/>
      <c r="AC45" s="37"/>
    </row>
    <row r="46" ht="64.5" customHeight="1" spans="1:29">
      <c r="A46" s="30" t="s">
        <v>129</v>
      </c>
      <c r="B46" s="30" t="s">
        <v>2299</v>
      </c>
      <c r="C46" s="30" t="s">
        <v>2300</v>
      </c>
      <c r="D46" s="31" t="s">
        <v>2301</v>
      </c>
      <c r="E46" s="31" t="s">
        <v>2280</v>
      </c>
      <c r="F46" s="30" t="s">
        <v>237</v>
      </c>
      <c r="G46" s="32" t="s">
        <v>209</v>
      </c>
      <c r="H46" s="33"/>
      <c r="I46" s="33"/>
      <c r="J46" s="40">
        <v>45991</v>
      </c>
      <c r="K46" s="41" t="s">
        <v>305</v>
      </c>
      <c r="L46" s="42" t="s">
        <v>209</v>
      </c>
      <c r="M46" s="40">
        <v>45993</v>
      </c>
      <c r="N46" s="41" t="s">
        <v>305</v>
      </c>
      <c r="O46" s="42" t="s">
        <v>209</v>
      </c>
      <c r="P46" s="40">
        <v>45995</v>
      </c>
      <c r="Q46" s="41" t="s">
        <v>305</v>
      </c>
      <c r="R46" s="30"/>
      <c r="S46" s="54"/>
      <c r="T46" s="55"/>
      <c r="U46" s="54"/>
      <c r="V46" s="54"/>
      <c r="W46" s="54"/>
      <c r="X46" s="54"/>
      <c r="Y46" s="54"/>
      <c r="Z46" s="54"/>
      <c r="AA46" s="54"/>
      <c r="AB46" s="54"/>
      <c r="AC46" s="54"/>
    </row>
    <row r="47" ht="64.5" customHeight="1" outlineLevel="1" spans="1:29">
      <c r="A47" s="30" t="s">
        <v>129</v>
      </c>
      <c r="B47" s="30" t="s">
        <v>2302</v>
      </c>
      <c r="C47" s="30" t="s">
        <v>2303</v>
      </c>
      <c r="D47" s="31" t="s">
        <v>2304</v>
      </c>
      <c r="E47" s="31" t="s">
        <v>2280</v>
      </c>
      <c r="F47" s="30" t="s">
        <v>237</v>
      </c>
      <c r="G47" s="32" t="s">
        <v>209</v>
      </c>
      <c r="H47" s="33"/>
      <c r="I47" s="33"/>
      <c r="J47" s="40">
        <v>45991</v>
      </c>
      <c r="K47" s="41" t="s">
        <v>305</v>
      </c>
      <c r="L47" s="42" t="s">
        <v>209</v>
      </c>
      <c r="M47" s="40">
        <v>45993</v>
      </c>
      <c r="N47" s="41" t="s">
        <v>305</v>
      </c>
      <c r="O47" s="42" t="s">
        <v>209</v>
      </c>
      <c r="P47" s="40">
        <v>45995</v>
      </c>
      <c r="Q47" s="41" t="s">
        <v>305</v>
      </c>
      <c r="R47" s="30"/>
      <c r="S47" s="37"/>
      <c r="T47" s="56"/>
      <c r="U47" s="37"/>
      <c r="V47" s="37"/>
      <c r="W47" s="37"/>
      <c r="X47" s="37"/>
      <c r="Y47" s="37"/>
      <c r="Z47" s="37"/>
      <c r="AA47" s="37"/>
      <c r="AB47" s="37"/>
      <c r="AC47" s="37"/>
    </row>
    <row r="48" ht="12.75" customHeight="1" spans="1:29">
      <c r="A48" s="37"/>
      <c r="B48" s="37"/>
      <c r="C48" s="38"/>
      <c r="D48" s="39"/>
      <c r="E48" s="39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43"/>
      <c r="T48" s="44"/>
      <c r="U48" s="43"/>
      <c r="V48" s="43"/>
      <c r="W48" s="43"/>
      <c r="X48" s="43"/>
      <c r="Y48" s="43"/>
      <c r="Z48" s="43"/>
      <c r="AA48" s="43"/>
      <c r="AB48" s="43"/>
      <c r="AC48" s="43"/>
    </row>
    <row r="49" ht="12.75" customHeight="1" spans="1:29">
      <c r="A49" s="37"/>
      <c r="B49" s="37"/>
      <c r="C49" s="38"/>
      <c r="D49" s="39"/>
      <c r="E49" s="39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43"/>
      <c r="T49" s="44"/>
      <c r="U49" s="43"/>
      <c r="V49" s="43"/>
      <c r="W49" s="43"/>
      <c r="X49" s="43"/>
      <c r="Y49" s="43"/>
      <c r="Z49" s="43"/>
      <c r="AA49" s="43"/>
      <c r="AB49" s="43"/>
      <c r="AC49" s="43"/>
    </row>
    <row r="50" ht="12.75" customHeight="1" spans="1:29">
      <c r="A50" s="37"/>
      <c r="B50" s="37"/>
      <c r="C50" s="38"/>
      <c r="D50" s="39"/>
      <c r="E50" s="39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43"/>
      <c r="T50" s="44"/>
      <c r="U50" s="43"/>
      <c r="V50" s="43"/>
      <c r="W50" s="43"/>
      <c r="X50" s="43"/>
      <c r="Y50" s="43"/>
      <c r="Z50" s="43"/>
      <c r="AA50" s="43"/>
      <c r="AB50" s="43"/>
      <c r="AC50" s="43"/>
    </row>
    <row r="51" ht="12.75" customHeight="1" spans="1:29">
      <c r="A51" s="37"/>
      <c r="B51" s="37"/>
      <c r="C51" s="38"/>
      <c r="D51" s="39"/>
      <c r="E51" s="39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43"/>
      <c r="T51" s="44"/>
      <c r="U51" s="43"/>
      <c r="V51" s="43"/>
      <c r="W51" s="43"/>
      <c r="X51" s="43"/>
      <c r="Y51" s="43"/>
      <c r="Z51" s="43"/>
      <c r="AA51" s="43"/>
      <c r="AB51" s="43"/>
      <c r="AC51" s="43"/>
    </row>
    <row r="52" ht="12.75" customHeight="1" spans="1:29">
      <c r="A52" s="37"/>
      <c r="B52" s="37"/>
      <c r="C52" s="38"/>
      <c r="D52" s="39"/>
      <c r="E52" s="39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43"/>
      <c r="T52" s="44"/>
      <c r="U52" s="43"/>
      <c r="V52" s="43"/>
      <c r="W52" s="43"/>
      <c r="X52" s="43"/>
      <c r="Y52" s="43"/>
      <c r="Z52" s="43"/>
      <c r="AA52" s="43"/>
      <c r="AB52" s="43"/>
      <c r="AC52" s="43"/>
    </row>
    <row r="53" ht="12.75" customHeight="1" spans="1:29">
      <c r="A53" s="37"/>
      <c r="B53" s="37"/>
      <c r="C53" s="38"/>
      <c r="D53" s="39"/>
      <c r="E53" s="39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43"/>
      <c r="T53" s="44"/>
      <c r="U53" s="43"/>
      <c r="V53" s="43"/>
      <c r="W53" s="43"/>
      <c r="X53" s="43"/>
      <c r="Y53" s="43"/>
      <c r="Z53" s="43"/>
      <c r="AA53" s="43"/>
      <c r="AB53" s="43"/>
      <c r="AC53" s="43"/>
    </row>
    <row r="54" ht="12.75" customHeight="1" spans="1:29">
      <c r="A54" s="37"/>
      <c r="B54" s="37"/>
      <c r="C54" s="38"/>
      <c r="D54" s="39"/>
      <c r="E54" s="39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43"/>
      <c r="T54" s="44"/>
      <c r="U54" s="43"/>
      <c r="V54" s="43"/>
      <c r="W54" s="43"/>
      <c r="X54" s="43"/>
      <c r="Y54" s="43"/>
      <c r="Z54" s="43"/>
      <c r="AA54" s="43"/>
      <c r="AB54" s="43"/>
      <c r="AC54" s="43"/>
    </row>
    <row r="55" ht="12.75" customHeight="1" spans="1:29">
      <c r="A55" s="37"/>
      <c r="B55" s="37"/>
      <c r="C55" s="38"/>
      <c r="D55" s="39"/>
      <c r="E55" s="39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43"/>
      <c r="T55" s="44"/>
      <c r="U55" s="43"/>
      <c r="V55" s="43"/>
      <c r="W55" s="43"/>
      <c r="X55" s="43"/>
      <c r="Y55" s="43"/>
      <c r="Z55" s="43"/>
      <c r="AA55" s="43"/>
      <c r="AB55" s="43"/>
      <c r="AC55" s="43"/>
    </row>
    <row r="56" ht="12.75" customHeight="1" spans="1:29">
      <c r="A56" s="37"/>
      <c r="B56" s="37"/>
      <c r="C56" s="38"/>
      <c r="D56" s="39"/>
      <c r="E56" s="39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43"/>
      <c r="T56" s="44"/>
      <c r="U56" s="43"/>
      <c r="V56" s="43"/>
      <c r="W56" s="43"/>
      <c r="X56" s="43"/>
      <c r="Y56" s="43"/>
      <c r="Z56" s="43"/>
      <c r="AA56" s="43"/>
      <c r="AB56" s="43"/>
      <c r="AC56" s="43"/>
    </row>
    <row r="57" ht="12.75" customHeight="1" spans="1:29">
      <c r="A57" s="37"/>
      <c r="B57" s="37"/>
      <c r="C57" s="38"/>
      <c r="D57" s="39"/>
      <c r="E57" s="39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43"/>
      <c r="T57" s="44"/>
      <c r="U57" s="43"/>
      <c r="V57" s="43"/>
      <c r="W57" s="43"/>
      <c r="X57" s="43"/>
      <c r="Y57" s="43"/>
      <c r="Z57" s="43"/>
      <c r="AA57" s="43"/>
      <c r="AB57" s="43"/>
      <c r="AC57" s="43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43"/>
      <c r="C208" s="58"/>
      <c r="D208" s="59"/>
      <c r="E208" s="59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43"/>
      <c r="C209" s="58"/>
      <c r="D209" s="59"/>
      <c r="E209" s="59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43"/>
      <c r="C210" s="58"/>
      <c r="D210" s="59"/>
      <c r="E210" s="59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43"/>
      <c r="C211" s="58"/>
      <c r="D211" s="59"/>
      <c r="E211" s="59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43"/>
      <c r="C212" s="58"/>
      <c r="D212" s="59"/>
      <c r="E212" s="59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43"/>
      <c r="C213" s="58"/>
      <c r="D213" s="59"/>
      <c r="E213" s="59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43"/>
      <c r="C214" s="58"/>
      <c r="D214" s="59"/>
      <c r="E214" s="59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43"/>
      <c r="C215" s="58"/>
      <c r="D215" s="59"/>
      <c r="E215" s="59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43"/>
      <c r="C216" s="58"/>
      <c r="D216" s="59"/>
      <c r="E216" s="59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43"/>
      <c r="C217" s="58"/>
      <c r="D217" s="59"/>
      <c r="E217" s="59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43"/>
      <c r="C218" s="58"/>
      <c r="D218" s="59"/>
      <c r="E218" s="59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43"/>
      <c r="C219" s="58"/>
      <c r="D219" s="59"/>
      <c r="E219" s="59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43"/>
      <c r="C220" s="58"/>
      <c r="D220" s="59"/>
      <c r="E220" s="59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43"/>
      <c r="C221" s="58"/>
      <c r="D221" s="59"/>
      <c r="E221" s="59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43"/>
      <c r="C222" s="58"/>
      <c r="D222" s="59"/>
      <c r="E222" s="59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43"/>
      <c r="C223" s="58"/>
      <c r="D223" s="59"/>
      <c r="E223" s="59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43"/>
      <c r="C224" s="58"/>
      <c r="D224" s="59"/>
      <c r="E224" s="59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43"/>
      <c r="C225" s="58"/>
      <c r="D225" s="59"/>
      <c r="E225" s="59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43"/>
      <c r="C226" s="58"/>
      <c r="D226" s="59"/>
      <c r="E226" s="59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43"/>
      <c r="C227" s="58"/>
      <c r="D227" s="59"/>
      <c r="E227" s="59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43"/>
      <c r="C228" s="58"/>
      <c r="D228" s="59"/>
      <c r="E228" s="59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43"/>
      <c r="C229" s="58"/>
      <c r="D229" s="59"/>
      <c r="E229" s="59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11:G47 H2:H3 L11:L47 M2:M3 O11:O47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992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131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COUNTA(B11:B932)-COUNTIF($N11:$N932,"Skip")</f>
        <v>25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COUNTIF($G11:$G932,C5)</f>
        <v>25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COUNTIF($L11:$L932,C5)</f>
        <v>25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COUNTIF($O11:$O932,C5)</f>
        <v>25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66" spans="1:29">
      <c r="A11" s="30" t="s">
        <v>130</v>
      </c>
      <c r="B11" s="30" t="s">
        <v>2305</v>
      </c>
      <c r="C11" s="30" t="s">
        <v>2306</v>
      </c>
      <c r="D11" s="31" t="s">
        <v>1923</v>
      </c>
      <c r="E11" s="31" t="s">
        <v>2307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305</v>
      </c>
      <c r="L11" s="42" t="s">
        <v>209</v>
      </c>
      <c r="M11" s="40">
        <v>45993</v>
      </c>
      <c r="N11" s="41" t="s">
        <v>305</v>
      </c>
      <c r="O11" s="42" t="s">
        <v>209</v>
      </c>
      <c r="P11" s="40">
        <v>45995</v>
      </c>
      <c r="Q11" s="41" t="s">
        <v>305</v>
      </c>
      <c r="R11" s="3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79.2" spans="1:29">
      <c r="A12" s="30" t="s">
        <v>130</v>
      </c>
      <c r="B12" s="30" t="s">
        <v>2308</v>
      </c>
      <c r="C12" s="30" t="s">
        <v>2309</v>
      </c>
      <c r="D12" s="31" t="s">
        <v>1927</v>
      </c>
      <c r="E12" s="31" t="s">
        <v>2310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305</v>
      </c>
      <c r="L12" s="42" t="s">
        <v>209</v>
      </c>
      <c r="M12" s="40">
        <v>45993</v>
      </c>
      <c r="N12" s="41" t="s">
        <v>305</v>
      </c>
      <c r="O12" s="42" t="s">
        <v>209</v>
      </c>
      <c r="P12" s="40">
        <v>45995</v>
      </c>
      <c r="Q12" s="41" t="s">
        <v>305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66" spans="1:29">
      <c r="A13" s="30" t="s">
        <v>130</v>
      </c>
      <c r="B13" s="30" t="s">
        <v>2311</v>
      </c>
      <c r="C13" s="30" t="s">
        <v>2312</v>
      </c>
      <c r="D13" s="31" t="s">
        <v>1931</v>
      </c>
      <c r="E13" s="31" t="s">
        <v>2313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305</v>
      </c>
      <c r="L13" s="42" t="s">
        <v>209</v>
      </c>
      <c r="M13" s="40">
        <v>45993</v>
      </c>
      <c r="N13" s="41" t="s">
        <v>305</v>
      </c>
      <c r="O13" s="42" t="s">
        <v>209</v>
      </c>
      <c r="P13" s="40">
        <v>45995</v>
      </c>
      <c r="Q13" s="41" t="s">
        <v>305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66" spans="1:29">
      <c r="A14" s="30" t="s">
        <v>130</v>
      </c>
      <c r="B14" s="30" t="s">
        <v>2314</v>
      </c>
      <c r="C14" s="30" t="s">
        <v>2315</v>
      </c>
      <c r="D14" s="31" t="s">
        <v>1934</v>
      </c>
      <c r="E14" s="31" t="s">
        <v>2313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305</v>
      </c>
      <c r="L14" s="42" t="s">
        <v>209</v>
      </c>
      <c r="M14" s="40">
        <v>45993</v>
      </c>
      <c r="N14" s="41" t="s">
        <v>305</v>
      </c>
      <c r="O14" s="42" t="s">
        <v>209</v>
      </c>
      <c r="P14" s="40">
        <v>45995</v>
      </c>
      <c r="Q14" s="41" t="s">
        <v>305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66" spans="1:29">
      <c r="A15" s="30" t="s">
        <v>130</v>
      </c>
      <c r="B15" s="30" t="s">
        <v>2316</v>
      </c>
      <c r="C15" s="30" t="s">
        <v>2317</v>
      </c>
      <c r="D15" s="31" t="s">
        <v>1937</v>
      </c>
      <c r="E15" s="31" t="s">
        <v>2313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305</v>
      </c>
      <c r="L15" s="42" t="s">
        <v>209</v>
      </c>
      <c r="M15" s="40">
        <v>45993</v>
      </c>
      <c r="N15" s="41" t="s">
        <v>305</v>
      </c>
      <c r="O15" s="42" t="s">
        <v>209</v>
      </c>
      <c r="P15" s="40">
        <v>45995</v>
      </c>
      <c r="Q15" s="41" t="s">
        <v>305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79.2" spans="1:29">
      <c r="A16" s="30" t="s">
        <v>130</v>
      </c>
      <c r="B16" s="30" t="s">
        <v>2318</v>
      </c>
      <c r="C16" s="30" t="s">
        <v>2319</v>
      </c>
      <c r="D16" s="31" t="s">
        <v>1940</v>
      </c>
      <c r="E16" s="31" t="s">
        <v>2310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305</v>
      </c>
      <c r="L16" s="42" t="s">
        <v>209</v>
      </c>
      <c r="M16" s="40">
        <v>45993</v>
      </c>
      <c r="N16" s="41" t="s">
        <v>305</v>
      </c>
      <c r="O16" s="42" t="s">
        <v>209</v>
      </c>
      <c r="P16" s="40">
        <v>45995</v>
      </c>
      <c r="Q16" s="41" t="s">
        <v>305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66" spans="1:29">
      <c r="A17" s="30" t="s">
        <v>130</v>
      </c>
      <c r="B17" s="30" t="s">
        <v>2320</v>
      </c>
      <c r="C17" s="30" t="s">
        <v>2321</v>
      </c>
      <c r="D17" s="31" t="s">
        <v>1923</v>
      </c>
      <c r="E17" s="31" t="s">
        <v>2307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305</v>
      </c>
      <c r="L17" s="42" t="s">
        <v>209</v>
      </c>
      <c r="M17" s="40">
        <v>45993</v>
      </c>
      <c r="N17" s="41" t="s">
        <v>305</v>
      </c>
      <c r="O17" s="42" t="s">
        <v>209</v>
      </c>
      <c r="P17" s="40">
        <v>45995</v>
      </c>
      <c r="Q17" s="41" t="s">
        <v>305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66" spans="1:29">
      <c r="A18" s="30" t="s">
        <v>130</v>
      </c>
      <c r="B18" s="30" t="s">
        <v>2322</v>
      </c>
      <c r="C18" s="30" t="s">
        <v>2323</v>
      </c>
      <c r="D18" s="31" t="s">
        <v>1923</v>
      </c>
      <c r="E18" s="31" t="s">
        <v>2307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305</v>
      </c>
      <c r="L18" s="42" t="s">
        <v>209</v>
      </c>
      <c r="M18" s="40">
        <v>45993</v>
      </c>
      <c r="N18" s="41" t="s">
        <v>305</v>
      </c>
      <c r="O18" s="42" t="s">
        <v>209</v>
      </c>
      <c r="P18" s="40">
        <v>45995</v>
      </c>
      <c r="Q18" s="41" t="s">
        <v>305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66" spans="1:29">
      <c r="A19" s="30" t="s">
        <v>130</v>
      </c>
      <c r="B19" s="30" t="s">
        <v>2324</v>
      </c>
      <c r="C19" s="30" t="s">
        <v>2325</v>
      </c>
      <c r="D19" s="31" t="s">
        <v>1923</v>
      </c>
      <c r="E19" s="31" t="s">
        <v>2307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305</v>
      </c>
      <c r="L19" s="42" t="s">
        <v>209</v>
      </c>
      <c r="M19" s="40">
        <v>45993</v>
      </c>
      <c r="N19" s="41" t="s">
        <v>305</v>
      </c>
      <c r="O19" s="42" t="s">
        <v>209</v>
      </c>
      <c r="P19" s="40">
        <v>45995</v>
      </c>
      <c r="Q19" s="41" t="s">
        <v>305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79.2" spans="1:29">
      <c r="A20" s="30" t="s">
        <v>130</v>
      </c>
      <c r="B20" s="30" t="s">
        <v>2326</v>
      </c>
      <c r="C20" s="30" t="s">
        <v>2327</v>
      </c>
      <c r="D20" s="31" t="s">
        <v>1943</v>
      </c>
      <c r="E20" s="31" t="s">
        <v>2310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305</v>
      </c>
      <c r="L20" s="42" t="s">
        <v>209</v>
      </c>
      <c r="M20" s="40">
        <v>45993</v>
      </c>
      <c r="N20" s="41" t="s">
        <v>305</v>
      </c>
      <c r="O20" s="42" t="s">
        <v>209</v>
      </c>
      <c r="P20" s="40">
        <v>45995</v>
      </c>
      <c r="Q20" s="41" t="s">
        <v>305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66" spans="1:29">
      <c r="A21" s="30" t="s">
        <v>130</v>
      </c>
      <c r="B21" s="30" t="s">
        <v>2328</v>
      </c>
      <c r="C21" s="30" t="s">
        <v>2329</v>
      </c>
      <c r="D21" s="31" t="s">
        <v>2330</v>
      </c>
      <c r="E21" s="31" t="s">
        <v>2307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305</v>
      </c>
      <c r="L21" s="42" t="s">
        <v>209</v>
      </c>
      <c r="M21" s="40">
        <v>45993</v>
      </c>
      <c r="N21" s="41" t="s">
        <v>305</v>
      </c>
      <c r="O21" s="42" t="s">
        <v>209</v>
      </c>
      <c r="P21" s="40">
        <v>45995</v>
      </c>
      <c r="Q21" s="41" t="s">
        <v>305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66" spans="1:29">
      <c r="A22" s="30" t="s">
        <v>130</v>
      </c>
      <c r="B22" s="30" t="s">
        <v>2331</v>
      </c>
      <c r="C22" s="30" t="s">
        <v>2332</v>
      </c>
      <c r="D22" s="31" t="s">
        <v>2333</v>
      </c>
      <c r="E22" s="31" t="s">
        <v>2307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305</v>
      </c>
      <c r="L22" s="42" t="s">
        <v>209</v>
      </c>
      <c r="M22" s="40">
        <v>45993</v>
      </c>
      <c r="N22" s="41" t="s">
        <v>305</v>
      </c>
      <c r="O22" s="42" t="s">
        <v>209</v>
      </c>
      <c r="P22" s="40">
        <v>45995</v>
      </c>
      <c r="Q22" s="41" t="s">
        <v>305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79.2" outlineLevel="1" spans="1:29">
      <c r="A23" s="30" t="s">
        <v>130</v>
      </c>
      <c r="B23" s="30" t="s">
        <v>2334</v>
      </c>
      <c r="C23" s="30" t="s">
        <v>2335</v>
      </c>
      <c r="D23" s="31" t="s">
        <v>2336</v>
      </c>
      <c r="E23" s="31" t="s">
        <v>2310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305</v>
      </c>
      <c r="L23" s="42" t="s">
        <v>209</v>
      </c>
      <c r="M23" s="40">
        <v>45993</v>
      </c>
      <c r="N23" s="41" t="s">
        <v>305</v>
      </c>
      <c r="O23" s="42" t="s">
        <v>209</v>
      </c>
      <c r="P23" s="40">
        <v>45995</v>
      </c>
      <c r="Q23" s="41" t="s">
        <v>305</v>
      </c>
      <c r="R23" s="30"/>
      <c r="S23" s="52"/>
      <c r="T23" s="53"/>
      <c r="U23" s="52"/>
      <c r="V23" s="52"/>
      <c r="W23" s="52"/>
      <c r="X23" s="52"/>
      <c r="Y23" s="52"/>
      <c r="Z23" s="52"/>
      <c r="AA23" s="52"/>
      <c r="AB23" s="52"/>
      <c r="AC23" s="52"/>
    </row>
    <row r="24" ht="66" outlineLevel="1" spans="1:29">
      <c r="A24" s="30" t="s">
        <v>130</v>
      </c>
      <c r="B24" s="30" t="s">
        <v>2337</v>
      </c>
      <c r="C24" s="30" t="s">
        <v>2338</v>
      </c>
      <c r="D24" s="31" t="s">
        <v>1923</v>
      </c>
      <c r="E24" s="31" t="s">
        <v>2307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305</v>
      </c>
      <c r="L24" s="42" t="s">
        <v>209</v>
      </c>
      <c r="M24" s="40">
        <v>45993</v>
      </c>
      <c r="N24" s="41" t="s">
        <v>305</v>
      </c>
      <c r="O24" s="42" t="s">
        <v>209</v>
      </c>
      <c r="P24" s="40">
        <v>45995</v>
      </c>
      <c r="Q24" s="41" t="s">
        <v>305</v>
      </c>
      <c r="R24" s="30"/>
      <c r="S24" s="43"/>
      <c r="T24" s="53"/>
      <c r="U24" s="43"/>
      <c r="V24" s="43"/>
      <c r="W24" s="43"/>
      <c r="X24" s="43"/>
      <c r="Y24" s="43"/>
      <c r="Z24" s="43"/>
      <c r="AA24" s="43"/>
      <c r="AB24" s="43"/>
      <c r="AC24" s="43"/>
    </row>
    <row r="25" ht="66" outlineLevel="1" spans="1:29">
      <c r="A25" s="30" t="s">
        <v>130</v>
      </c>
      <c r="B25" s="30" t="s">
        <v>2339</v>
      </c>
      <c r="C25" s="30" t="s">
        <v>2340</v>
      </c>
      <c r="D25" s="31" t="s">
        <v>1923</v>
      </c>
      <c r="E25" s="31" t="s">
        <v>2307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305</v>
      </c>
      <c r="L25" s="42" t="s">
        <v>209</v>
      </c>
      <c r="M25" s="40">
        <v>45993</v>
      </c>
      <c r="N25" s="41" t="s">
        <v>305</v>
      </c>
      <c r="O25" s="42" t="s">
        <v>209</v>
      </c>
      <c r="P25" s="40">
        <v>45995</v>
      </c>
      <c r="Q25" s="41" t="s">
        <v>305</v>
      </c>
      <c r="R25" s="30"/>
      <c r="S25" s="43"/>
      <c r="T25" s="53"/>
      <c r="U25" s="43"/>
      <c r="V25" s="43"/>
      <c r="W25" s="43"/>
      <c r="X25" s="43"/>
      <c r="Y25" s="43"/>
      <c r="Z25" s="43"/>
      <c r="AA25" s="43"/>
      <c r="AB25" s="43"/>
      <c r="AC25" s="43"/>
    </row>
    <row r="26" ht="66" outlineLevel="1" spans="1:29">
      <c r="A26" s="30" t="s">
        <v>130</v>
      </c>
      <c r="B26" s="30" t="s">
        <v>2341</v>
      </c>
      <c r="C26" s="30" t="s">
        <v>2342</v>
      </c>
      <c r="D26" s="31" t="s">
        <v>1923</v>
      </c>
      <c r="E26" s="31" t="s">
        <v>2307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305</v>
      </c>
      <c r="L26" s="42" t="s">
        <v>209</v>
      </c>
      <c r="M26" s="40">
        <v>45993</v>
      </c>
      <c r="N26" s="41" t="s">
        <v>305</v>
      </c>
      <c r="O26" s="42" t="s">
        <v>209</v>
      </c>
      <c r="P26" s="40">
        <v>45995</v>
      </c>
      <c r="Q26" s="41" t="s">
        <v>305</v>
      </c>
      <c r="R26" s="30"/>
      <c r="S26" s="43"/>
      <c r="T26" s="53"/>
      <c r="U26" s="43"/>
      <c r="V26" s="43"/>
      <c r="W26" s="43"/>
      <c r="X26" s="43"/>
      <c r="Y26" s="43"/>
      <c r="Z26" s="43"/>
      <c r="AA26" s="43"/>
      <c r="AB26" s="43"/>
      <c r="AC26" s="43"/>
    </row>
    <row r="27" ht="66" outlineLevel="1" spans="1:29">
      <c r="A27" s="30" t="s">
        <v>130</v>
      </c>
      <c r="B27" s="30" t="s">
        <v>2343</v>
      </c>
      <c r="C27" s="30" t="s">
        <v>2344</v>
      </c>
      <c r="D27" s="31" t="s">
        <v>2345</v>
      </c>
      <c r="E27" s="31" t="s">
        <v>2307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305</v>
      </c>
      <c r="L27" s="42" t="s">
        <v>209</v>
      </c>
      <c r="M27" s="40">
        <v>45993</v>
      </c>
      <c r="N27" s="41" t="s">
        <v>305</v>
      </c>
      <c r="O27" s="42" t="s">
        <v>209</v>
      </c>
      <c r="P27" s="40">
        <v>45995</v>
      </c>
      <c r="Q27" s="41" t="s">
        <v>305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66" outlineLevel="1" spans="1:29">
      <c r="A28" s="30" t="s">
        <v>130</v>
      </c>
      <c r="B28" s="30" t="s">
        <v>2346</v>
      </c>
      <c r="C28" s="30" t="s">
        <v>2347</v>
      </c>
      <c r="D28" s="31" t="s">
        <v>2348</v>
      </c>
      <c r="E28" s="31" t="s">
        <v>2307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305</v>
      </c>
      <c r="L28" s="42" t="s">
        <v>209</v>
      </c>
      <c r="M28" s="40">
        <v>45993</v>
      </c>
      <c r="N28" s="41" t="s">
        <v>305</v>
      </c>
      <c r="O28" s="42" t="s">
        <v>209</v>
      </c>
      <c r="P28" s="40">
        <v>45995</v>
      </c>
      <c r="Q28" s="41" t="s">
        <v>305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66" outlineLevel="1" spans="1:29">
      <c r="A29" s="30" t="s">
        <v>130</v>
      </c>
      <c r="B29" s="30" t="s">
        <v>2349</v>
      </c>
      <c r="C29" s="30" t="s">
        <v>2350</v>
      </c>
      <c r="D29" s="31" t="s">
        <v>2351</v>
      </c>
      <c r="E29" s="31" t="s">
        <v>2307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305</v>
      </c>
      <c r="L29" s="42" t="s">
        <v>209</v>
      </c>
      <c r="M29" s="40">
        <v>45993</v>
      </c>
      <c r="N29" s="41" t="s">
        <v>305</v>
      </c>
      <c r="O29" s="42" t="s">
        <v>209</v>
      </c>
      <c r="P29" s="40">
        <v>45995</v>
      </c>
      <c r="Q29" s="41" t="s">
        <v>305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66" outlineLevel="1" spans="1:29">
      <c r="A30" s="30" t="s">
        <v>130</v>
      </c>
      <c r="B30" s="30" t="s">
        <v>2352</v>
      </c>
      <c r="C30" s="30" t="s">
        <v>2353</v>
      </c>
      <c r="D30" s="31" t="s">
        <v>2354</v>
      </c>
      <c r="E30" s="31" t="s">
        <v>2307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305</v>
      </c>
      <c r="L30" s="42" t="s">
        <v>209</v>
      </c>
      <c r="M30" s="40">
        <v>45993</v>
      </c>
      <c r="N30" s="41" t="s">
        <v>305</v>
      </c>
      <c r="O30" s="42" t="s">
        <v>209</v>
      </c>
      <c r="P30" s="40">
        <v>45995</v>
      </c>
      <c r="Q30" s="41" t="s">
        <v>305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66" outlineLevel="1" spans="1:29">
      <c r="A31" s="30" t="s">
        <v>130</v>
      </c>
      <c r="B31" s="30" t="s">
        <v>2355</v>
      </c>
      <c r="C31" s="30" t="s">
        <v>2356</v>
      </c>
      <c r="D31" s="31" t="s">
        <v>2357</v>
      </c>
      <c r="E31" s="31" t="s">
        <v>2307</v>
      </c>
      <c r="F31" s="30" t="s">
        <v>237</v>
      </c>
      <c r="G31" s="32" t="s">
        <v>209</v>
      </c>
      <c r="H31" s="33"/>
      <c r="I31" s="33"/>
      <c r="J31" s="40">
        <v>45991</v>
      </c>
      <c r="K31" s="41" t="s">
        <v>305</v>
      </c>
      <c r="L31" s="42" t="s">
        <v>209</v>
      </c>
      <c r="M31" s="40">
        <v>45993</v>
      </c>
      <c r="N31" s="41" t="s">
        <v>305</v>
      </c>
      <c r="O31" s="42" t="s">
        <v>209</v>
      </c>
      <c r="P31" s="40">
        <v>45995</v>
      </c>
      <c r="Q31" s="41" t="s">
        <v>305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66" outlineLevel="1" spans="1:29">
      <c r="A32" s="30" t="s">
        <v>130</v>
      </c>
      <c r="B32" s="30" t="s">
        <v>2358</v>
      </c>
      <c r="C32" s="30" t="s">
        <v>2359</v>
      </c>
      <c r="D32" s="31" t="s">
        <v>1923</v>
      </c>
      <c r="E32" s="31" t="s">
        <v>2307</v>
      </c>
      <c r="F32" s="30" t="s">
        <v>237</v>
      </c>
      <c r="G32" s="32" t="s">
        <v>209</v>
      </c>
      <c r="H32" s="33"/>
      <c r="I32" s="33"/>
      <c r="J32" s="40">
        <v>45991</v>
      </c>
      <c r="K32" s="41" t="s">
        <v>305</v>
      </c>
      <c r="L32" s="42" t="s">
        <v>209</v>
      </c>
      <c r="M32" s="40">
        <v>45993</v>
      </c>
      <c r="N32" s="41" t="s">
        <v>305</v>
      </c>
      <c r="O32" s="42" t="s">
        <v>209</v>
      </c>
      <c r="P32" s="40">
        <v>45995</v>
      </c>
      <c r="Q32" s="41" t="s">
        <v>305</v>
      </c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66" outlineLevel="1" spans="1:29">
      <c r="A33" s="30" t="s">
        <v>130</v>
      </c>
      <c r="B33" s="30" t="s">
        <v>2360</v>
      </c>
      <c r="C33" s="30" t="s">
        <v>2361</v>
      </c>
      <c r="D33" s="31" t="s">
        <v>2362</v>
      </c>
      <c r="E33" s="31" t="s">
        <v>2307</v>
      </c>
      <c r="F33" s="30" t="s">
        <v>237</v>
      </c>
      <c r="G33" s="32" t="s">
        <v>209</v>
      </c>
      <c r="H33" s="33"/>
      <c r="I33" s="33"/>
      <c r="J33" s="40">
        <v>45991</v>
      </c>
      <c r="K33" s="41" t="s">
        <v>305</v>
      </c>
      <c r="L33" s="42" t="s">
        <v>209</v>
      </c>
      <c r="M33" s="40">
        <v>45993</v>
      </c>
      <c r="N33" s="41" t="s">
        <v>305</v>
      </c>
      <c r="O33" s="42" t="s">
        <v>209</v>
      </c>
      <c r="P33" s="40">
        <v>45995</v>
      </c>
      <c r="Q33" s="41" t="s">
        <v>305</v>
      </c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66" outlineLevel="1" spans="1:29">
      <c r="A34" s="30" t="s">
        <v>130</v>
      </c>
      <c r="B34" s="30" t="s">
        <v>2363</v>
      </c>
      <c r="C34" s="30" t="s">
        <v>2364</v>
      </c>
      <c r="D34" s="31" t="s">
        <v>2365</v>
      </c>
      <c r="E34" s="31" t="s">
        <v>2307</v>
      </c>
      <c r="F34" s="30" t="s">
        <v>237</v>
      </c>
      <c r="G34" s="32" t="s">
        <v>209</v>
      </c>
      <c r="H34" s="33"/>
      <c r="I34" s="33"/>
      <c r="J34" s="40">
        <v>45991</v>
      </c>
      <c r="K34" s="41" t="s">
        <v>305</v>
      </c>
      <c r="L34" s="42" t="s">
        <v>209</v>
      </c>
      <c r="M34" s="40">
        <v>45993</v>
      </c>
      <c r="N34" s="41" t="s">
        <v>305</v>
      </c>
      <c r="O34" s="42" t="s">
        <v>209</v>
      </c>
      <c r="P34" s="40">
        <v>45995</v>
      </c>
      <c r="Q34" s="41" t="s">
        <v>305</v>
      </c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79.2" outlineLevel="1" spans="1:29">
      <c r="A35" s="30" t="s">
        <v>130</v>
      </c>
      <c r="B35" s="30" t="s">
        <v>2366</v>
      </c>
      <c r="C35" s="30" t="s">
        <v>2367</v>
      </c>
      <c r="D35" s="31" t="s">
        <v>2368</v>
      </c>
      <c r="E35" s="31" t="s">
        <v>2310</v>
      </c>
      <c r="F35" s="30" t="s">
        <v>237</v>
      </c>
      <c r="G35" s="32" t="s">
        <v>209</v>
      </c>
      <c r="H35" s="33"/>
      <c r="I35" s="33"/>
      <c r="J35" s="40">
        <v>45991</v>
      </c>
      <c r="K35" s="41" t="s">
        <v>305</v>
      </c>
      <c r="L35" s="42" t="s">
        <v>209</v>
      </c>
      <c r="M35" s="40">
        <v>45993</v>
      </c>
      <c r="N35" s="41" t="s">
        <v>305</v>
      </c>
      <c r="O35" s="42" t="s">
        <v>209</v>
      </c>
      <c r="P35" s="40">
        <v>45995</v>
      </c>
      <c r="Q35" s="41" t="s">
        <v>305</v>
      </c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12.75" customHeight="1" spans="1:29">
      <c r="A36" s="37"/>
      <c r="B36" s="37"/>
      <c r="C36" s="38"/>
      <c r="D36" s="39"/>
      <c r="E36" s="39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43"/>
      <c r="T36" s="44"/>
      <c r="U36" s="43"/>
      <c r="V36" s="43"/>
      <c r="W36" s="43"/>
      <c r="X36" s="43"/>
      <c r="Y36" s="43"/>
      <c r="Z36" s="43"/>
      <c r="AA36" s="43"/>
      <c r="AB36" s="43"/>
      <c r="AC36" s="43"/>
    </row>
    <row r="37" ht="12.75" customHeight="1" spans="1:29">
      <c r="A37" s="37"/>
      <c r="B37" s="37"/>
      <c r="C37" s="38"/>
      <c r="D37" s="39"/>
      <c r="E37" s="39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43"/>
      <c r="T37" s="44"/>
      <c r="U37" s="43"/>
      <c r="V37" s="43"/>
      <c r="W37" s="43"/>
      <c r="X37" s="43"/>
      <c r="Y37" s="43"/>
      <c r="Z37" s="43"/>
      <c r="AA37" s="43"/>
      <c r="AB37" s="43"/>
      <c r="AC37" s="43"/>
    </row>
    <row r="38" ht="12.75" customHeight="1" spans="1:29">
      <c r="A38" s="37"/>
      <c r="B38" s="37"/>
      <c r="C38" s="38"/>
      <c r="D38" s="39"/>
      <c r="E38" s="39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43"/>
      <c r="T38" s="44"/>
      <c r="U38" s="43"/>
      <c r="V38" s="43"/>
      <c r="W38" s="43"/>
      <c r="X38" s="43"/>
      <c r="Y38" s="43"/>
      <c r="Z38" s="43"/>
      <c r="AA38" s="43"/>
      <c r="AB38" s="43"/>
      <c r="AC38" s="43"/>
    </row>
    <row r="39" ht="12.75" customHeight="1" spans="1:29">
      <c r="A39" s="37"/>
      <c r="B39" s="37"/>
      <c r="C39" s="38"/>
      <c r="D39" s="39"/>
      <c r="E39" s="39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43"/>
      <c r="T39" s="44"/>
      <c r="U39" s="43"/>
      <c r="V39" s="43"/>
      <c r="W39" s="43"/>
      <c r="X39" s="43"/>
      <c r="Y39" s="43"/>
      <c r="Z39" s="43"/>
      <c r="AA39" s="43"/>
      <c r="AB39" s="43"/>
      <c r="AC39" s="43"/>
    </row>
    <row r="40" ht="12.75" customHeight="1" spans="1:29">
      <c r="A40" s="37"/>
      <c r="B40" s="37"/>
      <c r="C40" s="38"/>
      <c r="D40" s="39"/>
      <c r="E40" s="39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43"/>
      <c r="T40" s="44"/>
      <c r="U40" s="43"/>
      <c r="V40" s="43"/>
      <c r="W40" s="43"/>
      <c r="X40" s="43"/>
      <c r="Y40" s="43"/>
      <c r="Z40" s="43"/>
      <c r="AA40" s="43"/>
      <c r="AB40" s="43"/>
      <c r="AC40" s="43"/>
    </row>
    <row r="41" ht="12.75" customHeight="1" spans="1:29">
      <c r="A41" s="37"/>
      <c r="B41" s="37"/>
      <c r="C41" s="38"/>
      <c r="D41" s="39"/>
      <c r="E41" s="39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43"/>
      <c r="T41" s="44"/>
      <c r="U41" s="43"/>
      <c r="V41" s="43"/>
      <c r="W41" s="43"/>
      <c r="X41" s="43"/>
      <c r="Y41" s="43"/>
      <c r="Z41" s="43"/>
      <c r="AA41" s="43"/>
      <c r="AB41" s="43"/>
      <c r="AC41" s="43"/>
    </row>
    <row r="42" ht="12.75" customHeight="1" spans="1:29">
      <c r="A42" s="37"/>
      <c r="B42" s="37"/>
      <c r="C42" s="38"/>
      <c r="D42" s="39"/>
      <c r="E42" s="39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43"/>
      <c r="T42" s="44"/>
      <c r="U42" s="43"/>
      <c r="V42" s="43"/>
      <c r="W42" s="43"/>
      <c r="X42" s="43"/>
      <c r="Y42" s="43"/>
      <c r="Z42" s="43"/>
      <c r="AA42" s="43"/>
      <c r="AB42" s="43"/>
      <c r="AC42" s="43"/>
    </row>
    <row r="43" ht="12.75" customHeight="1" spans="1:29">
      <c r="A43" s="37"/>
      <c r="B43" s="37"/>
      <c r="C43" s="38"/>
      <c r="D43" s="39"/>
      <c r="E43" s="39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43"/>
      <c r="T43" s="44"/>
      <c r="U43" s="43"/>
      <c r="V43" s="43"/>
      <c r="W43" s="43"/>
      <c r="X43" s="43"/>
      <c r="Y43" s="43"/>
      <c r="Z43" s="43"/>
      <c r="AA43" s="43"/>
      <c r="AB43" s="43"/>
      <c r="AC43" s="43"/>
    </row>
    <row r="44" ht="12.75" customHeight="1" spans="1:29">
      <c r="A44" s="37"/>
      <c r="B44" s="37"/>
      <c r="C44" s="38"/>
      <c r="D44" s="39"/>
      <c r="E44" s="39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43"/>
      <c r="T44" s="44"/>
      <c r="U44" s="43"/>
      <c r="V44" s="43"/>
      <c r="W44" s="43"/>
      <c r="X44" s="43"/>
      <c r="Y44" s="43"/>
      <c r="Z44" s="43"/>
      <c r="AA44" s="43"/>
      <c r="AB44" s="43"/>
      <c r="AC44" s="43"/>
    </row>
    <row r="45" ht="12.75" customHeight="1" spans="1:29">
      <c r="A45" s="37"/>
      <c r="B45" s="37"/>
      <c r="C45" s="38"/>
      <c r="D45" s="39"/>
      <c r="E45" s="39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43"/>
      <c r="T45" s="44"/>
      <c r="U45" s="43"/>
      <c r="V45" s="43"/>
      <c r="W45" s="43"/>
      <c r="X45" s="43"/>
      <c r="Y45" s="43"/>
      <c r="Z45" s="43"/>
      <c r="AA45" s="43"/>
      <c r="AB45" s="43"/>
      <c r="AC45" s="43"/>
    </row>
    <row r="46" ht="12.75" customHeight="1" spans="1:29">
      <c r="A46" s="37"/>
      <c r="B46" s="37"/>
      <c r="C46" s="38"/>
      <c r="D46" s="39"/>
      <c r="E46" s="39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43"/>
      <c r="T46" s="44"/>
      <c r="U46" s="43"/>
      <c r="V46" s="43"/>
      <c r="W46" s="43"/>
      <c r="X46" s="43"/>
      <c r="Y46" s="43"/>
      <c r="Z46" s="43"/>
      <c r="AA46" s="43"/>
      <c r="AB46" s="43"/>
      <c r="AC46" s="43"/>
    </row>
    <row r="47" ht="12.75" customHeight="1" spans="1:29">
      <c r="A47" s="37"/>
      <c r="B47" s="37"/>
      <c r="C47" s="38"/>
      <c r="D47" s="39"/>
      <c r="E47" s="39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43"/>
      <c r="T47" s="44"/>
      <c r="U47" s="43"/>
      <c r="V47" s="43"/>
      <c r="W47" s="43"/>
      <c r="X47" s="43"/>
      <c r="Y47" s="43"/>
      <c r="Z47" s="43"/>
      <c r="AA47" s="43"/>
      <c r="AB47" s="43"/>
      <c r="AC47" s="43"/>
    </row>
    <row r="48" ht="12.75" customHeight="1" spans="1:29">
      <c r="A48" s="37"/>
      <c r="B48" s="37"/>
      <c r="C48" s="38"/>
      <c r="D48" s="39"/>
      <c r="E48" s="39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43"/>
      <c r="T48" s="44"/>
      <c r="U48" s="43"/>
      <c r="V48" s="43"/>
      <c r="W48" s="43"/>
      <c r="X48" s="43"/>
      <c r="Y48" s="43"/>
      <c r="Z48" s="43"/>
      <c r="AA48" s="43"/>
      <c r="AB48" s="43"/>
      <c r="AC48" s="43"/>
    </row>
    <row r="49" ht="12.75" customHeight="1" spans="1:29">
      <c r="A49" s="37"/>
      <c r="B49" s="37"/>
      <c r="C49" s="38"/>
      <c r="D49" s="39"/>
      <c r="E49" s="39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43"/>
      <c r="T49" s="44"/>
      <c r="U49" s="43"/>
      <c r="V49" s="43"/>
      <c r="W49" s="43"/>
      <c r="X49" s="43"/>
      <c r="Y49" s="43"/>
      <c r="Z49" s="43"/>
      <c r="AA49" s="43"/>
      <c r="AB49" s="43"/>
      <c r="AC49" s="43"/>
    </row>
    <row r="50" ht="12.75" customHeight="1" spans="1:29">
      <c r="A50" s="37"/>
      <c r="B50" s="37"/>
      <c r="C50" s="38"/>
      <c r="D50" s="39"/>
      <c r="E50" s="39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43"/>
      <c r="T50" s="44"/>
      <c r="U50" s="43"/>
      <c r="V50" s="43"/>
      <c r="W50" s="43"/>
      <c r="X50" s="43"/>
      <c r="Y50" s="43"/>
      <c r="Z50" s="43"/>
      <c r="AA50" s="43"/>
      <c r="AB50" s="43"/>
      <c r="AC50" s="43"/>
    </row>
    <row r="51" ht="12.75" customHeight="1" spans="1:29">
      <c r="A51" s="37"/>
      <c r="B51" s="37"/>
      <c r="C51" s="38"/>
      <c r="D51" s="39"/>
      <c r="E51" s="39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43"/>
      <c r="T51" s="44"/>
      <c r="U51" s="43"/>
      <c r="V51" s="43"/>
      <c r="W51" s="43"/>
      <c r="X51" s="43"/>
      <c r="Y51" s="43"/>
      <c r="Z51" s="43"/>
      <c r="AA51" s="43"/>
      <c r="AB51" s="43"/>
      <c r="AC51" s="43"/>
    </row>
    <row r="52" ht="12.75" customHeight="1" spans="1:29">
      <c r="A52" s="37"/>
      <c r="B52" s="37"/>
      <c r="C52" s="38"/>
      <c r="D52" s="39"/>
      <c r="E52" s="39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43"/>
      <c r="T52" s="44"/>
      <c r="U52" s="43"/>
      <c r="V52" s="43"/>
      <c r="W52" s="43"/>
      <c r="X52" s="43"/>
      <c r="Y52" s="43"/>
      <c r="Z52" s="43"/>
      <c r="AA52" s="43"/>
      <c r="AB52" s="43"/>
      <c r="AC52" s="43"/>
    </row>
    <row r="53" ht="12.75" customHeight="1" spans="1:29">
      <c r="A53" s="37"/>
      <c r="B53" s="37"/>
      <c r="C53" s="38"/>
      <c r="D53" s="39"/>
      <c r="E53" s="39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43"/>
      <c r="T53" s="44"/>
      <c r="U53" s="43"/>
      <c r="V53" s="43"/>
      <c r="W53" s="43"/>
      <c r="X53" s="43"/>
      <c r="Y53" s="43"/>
      <c r="Z53" s="43"/>
      <c r="AA53" s="43"/>
      <c r="AB53" s="43"/>
      <c r="AC53" s="43"/>
    </row>
    <row r="54" ht="12.75" customHeight="1" spans="1:29">
      <c r="A54" s="37"/>
      <c r="B54" s="37"/>
      <c r="C54" s="38"/>
      <c r="D54" s="39"/>
      <c r="E54" s="39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43"/>
      <c r="T54" s="44"/>
      <c r="U54" s="43"/>
      <c r="V54" s="43"/>
      <c r="W54" s="43"/>
      <c r="X54" s="43"/>
      <c r="Y54" s="43"/>
      <c r="Z54" s="43"/>
      <c r="AA54" s="43"/>
      <c r="AB54" s="43"/>
      <c r="AC54" s="43"/>
    </row>
    <row r="55" ht="12.75" customHeight="1" spans="1:29">
      <c r="A55" s="37"/>
      <c r="B55" s="37"/>
      <c r="C55" s="38"/>
      <c r="D55" s="39"/>
      <c r="E55" s="39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43"/>
      <c r="T55" s="44"/>
      <c r="U55" s="43"/>
      <c r="V55" s="43"/>
      <c r="W55" s="43"/>
      <c r="X55" s="43"/>
      <c r="Y55" s="43"/>
      <c r="Z55" s="43"/>
      <c r="AA55" s="43"/>
      <c r="AB55" s="43"/>
      <c r="AC55" s="43"/>
    </row>
    <row r="56" ht="12.75" customHeight="1" spans="1:29">
      <c r="A56" s="37"/>
      <c r="B56" s="37"/>
      <c r="C56" s="38"/>
      <c r="D56" s="39"/>
      <c r="E56" s="39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43"/>
      <c r="T56" s="44"/>
      <c r="U56" s="43"/>
      <c r="V56" s="43"/>
      <c r="W56" s="43"/>
      <c r="X56" s="43"/>
      <c r="Y56" s="43"/>
      <c r="Z56" s="43"/>
      <c r="AA56" s="43"/>
      <c r="AB56" s="43"/>
      <c r="AC56" s="43"/>
    </row>
    <row r="57" ht="12.75" customHeight="1" spans="1:29">
      <c r="A57" s="37"/>
      <c r="B57" s="37"/>
      <c r="C57" s="38"/>
      <c r="D57" s="39"/>
      <c r="E57" s="39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43"/>
      <c r="T57" s="44"/>
      <c r="U57" s="43"/>
      <c r="V57" s="43"/>
      <c r="W57" s="43"/>
      <c r="X57" s="43"/>
      <c r="Y57" s="43"/>
      <c r="Z57" s="43"/>
      <c r="AA57" s="43"/>
      <c r="AB57" s="43"/>
      <c r="AC57" s="43"/>
    </row>
    <row r="58" ht="12.75" customHeight="1" spans="1:29">
      <c r="A58" s="37"/>
      <c r="B58" s="37"/>
      <c r="C58" s="38"/>
      <c r="D58" s="39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12.75" customHeight="1" spans="1:29">
      <c r="A59" s="37"/>
      <c r="B59" s="37"/>
      <c r="C59" s="38"/>
      <c r="D59" s="39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12.75" customHeight="1" spans="1:29">
      <c r="A60" s="37"/>
      <c r="B60" s="37"/>
      <c r="C60" s="38"/>
      <c r="D60" s="39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12.75" customHeight="1" spans="1:29">
      <c r="A61" s="37"/>
      <c r="B61" s="37"/>
      <c r="C61" s="38"/>
      <c r="D61" s="39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43"/>
      <c r="C196" s="58"/>
      <c r="D196" s="59"/>
      <c r="E196" s="59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43"/>
      <c r="C197" s="58"/>
      <c r="D197" s="59"/>
      <c r="E197" s="59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43"/>
      <c r="C198" s="58"/>
      <c r="D198" s="59"/>
      <c r="E198" s="59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43"/>
      <c r="C199" s="58"/>
      <c r="D199" s="59"/>
      <c r="E199" s="59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43"/>
      <c r="C200" s="58"/>
      <c r="D200" s="59"/>
      <c r="E200" s="59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43"/>
      <c r="C201" s="58"/>
      <c r="D201" s="59"/>
      <c r="E201" s="59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43"/>
      <c r="C202" s="58"/>
      <c r="D202" s="59"/>
      <c r="E202" s="59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43"/>
      <c r="C203" s="58"/>
      <c r="D203" s="59"/>
      <c r="E203" s="59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43"/>
      <c r="C204" s="58"/>
      <c r="D204" s="59"/>
      <c r="E204" s="59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43"/>
      <c r="C205" s="58"/>
      <c r="D205" s="59"/>
      <c r="E205" s="59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43"/>
      <c r="C206" s="58"/>
      <c r="D206" s="59"/>
      <c r="E206" s="59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43"/>
      <c r="C207" s="58"/>
      <c r="D207" s="59"/>
      <c r="E207" s="59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43"/>
      <c r="C208" s="58"/>
      <c r="D208" s="59"/>
      <c r="E208" s="59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43"/>
      <c r="C209" s="58"/>
      <c r="D209" s="59"/>
      <c r="E209" s="59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43"/>
      <c r="C210" s="58"/>
      <c r="D210" s="59"/>
      <c r="E210" s="59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43"/>
      <c r="C211" s="58"/>
      <c r="D211" s="59"/>
      <c r="E211" s="59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43"/>
      <c r="C212" s="58"/>
      <c r="D212" s="59"/>
      <c r="E212" s="59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43"/>
      <c r="C213" s="58"/>
      <c r="D213" s="59"/>
      <c r="E213" s="59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43"/>
      <c r="C214" s="58"/>
      <c r="D214" s="59"/>
      <c r="E214" s="59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43"/>
      <c r="C215" s="58"/>
      <c r="D215" s="59"/>
      <c r="E215" s="59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43"/>
      <c r="C216" s="58"/>
      <c r="D216" s="59"/>
      <c r="E216" s="59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43"/>
      <c r="C217" s="58"/>
      <c r="D217" s="59"/>
      <c r="E217" s="59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43"/>
      <c r="C218" s="58"/>
      <c r="D218" s="59"/>
      <c r="E218" s="59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43"/>
      <c r="C219" s="58"/>
      <c r="D219" s="59"/>
      <c r="E219" s="59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11:G35 H2:H3 L11:L35 M2:M3 O11:O35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18"/>
  <sheetViews>
    <sheetView workbookViewId="0">
      <pane ySplit="10" topLeftCell="A11" activePane="bottomLeft" state="frozen"/>
      <selection/>
      <selection pane="bottomLeft" activeCell="B12" sqref="B12"/>
    </sheetView>
  </sheetViews>
  <sheetFormatPr defaultColWidth="12.6296296296296" defaultRowHeight="15" customHeight="1"/>
  <cols>
    <col min="1" max="1" width="23.6296296296296" customWidth="1"/>
    <col min="2" max="2" width="17" customWidth="1"/>
    <col min="3" max="3" width="34.5" customWidth="1"/>
    <col min="4" max="4" width="34.1296296296296" customWidth="1"/>
    <col min="5" max="5" width="52" customWidth="1"/>
    <col min="6" max="6" width="22" customWidth="1"/>
    <col min="7" max="7" width="9.25" customWidth="1"/>
    <col min="8" max="8" width="15.25" hidden="1" customWidth="1" outlineLevel="1"/>
    <col min="9" max="9" width="16.1296296296296" hidden="1" customWidth="1" outlineLevel="1"/>
    <col min="10" max="12" width="15.75" customWidth="1"/>
    <col min="13" max="13" width="15.1296296296296" customWidth="1" outlineLevel="1"/>
    <col min="14" max="14" width="9.5" customWidth="1" outlineLevel="1"/>
    <col min="15" max="15" width="16.1296296296296" customWidth="1"/>
    <col min="16" max="16" width="16.5" customWidth="1" outlineLevel="1"/>
    <col min="17" max="17" width="12" customWidth="1" outlineLevel="1"/>
    <col min="18" max="18" width="28.6296296296296" customWidth="1"/>
    <col min="19" max="19" width="10.1296296296296" customWidth="1"/>
    <col min="20" max="20" width="8.12962962962963" customWidth="1"/>
    <col min="21" max="21" width="7.62962962962963" hidden="1" customWidth="1"/>
    <col min="22" max="29" width="9" customWidth="1"/>
  </cols>
  <sheetData>
    <row r="1" ht="12.75" customHeight="1" spans="1:29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3"/>
      <c r="R1" s="43"/>
      <c r="S1" s="43"/>
      <c r="T1" s="44"/>
      <c r="U1" s="43"/>
      <c r="V1" s="43"/>
      <c r="W1" s="43"/>
      <c r="X1" s="43"/>
      <c r="Y1" s="43"/>
      <c r="Z1" s="43"/>
      <c r="AA1" s="43"/>
      <c r="AB1" s="43"/>
      <c r="AC1" s="43"/>
    </row>
    <row r="2" customHeight="1" spans="1:29">
      <c r="A2" s="4"/>
      <c r="B2" s="5" t="s">
        <v>217</v>
      </c>
      <c r="C2" s="6" t="s">
        <v>135</v>
      </c>
      <c r="D2" s="7"/>
      <c r="E2" s="7"/>
      <c r="F2" s="8"/>
      <c r="G2" s="9"/>
      <c r="H2" s="9"/>
      <c r="I2" s="2"/>
      <c r="J2" s="9"/>
      <c r="K2" s="9"/>
      <c r="L2" s="9"/>
      <c r="M2" s="9"/>
      <c r="N2" s="2"/>
      <c r="O2" s="9"/>
      <c r="P2" s="9"/>
      <c r="Q2" s="45"/>
      <c r="R2" s="45"/>
      <c r="S2" s="45"/>
      <c r="T2" s="46"/>
      <c r="U2" s="47" t="s">
        <v>209</v>
      </c>
      <c r="V2" s="47"/>
      <c r="W2" s="47"/>
      <c r="X2" s="47"/>
      <c r="Y2" s="47"/>
      <c r="Z2" s="47"/>
      <c r="AA2" s="47"/>
      <c r="AB2" s="47"/>
      <c r="AC2" s="47"/>
    </row>
    <row r="3" ht="12.75" customHeight="1" spans="1:29">
      <c r="A3" s="4"/>
      <c r="B3" s="10" t="s">
        <v>218</v>
      </c>
      <c r="C3" s="11"/>
      <c r="D3" s="12"/>
      <c r="E3" s="12"/>
      <c r="F3" s="13"/>
      <c r="G3" s="9"/>
      <c r="H3" s="9"/>
      <c r="I3" s="2"/>
      <c r="J3" s="9"/>
      <c r="K3" s="9"/>
      <c r="L3" s="9"/>
      <c r="M3" s="9"/>
      <c r="N3" s="2"/>
      <c r="O3" s="9"/>
      <c r="P3" s="9"/>
      <c r="Q3" s="45"/>
      <c r="R3" s="45"/>
      <c r="S3" s="45"/>
      <c r="T3" s="46"/>
      <c r="U3" s="47" t="s">
        <v>210</v>
      </c>
      <c r="V3" s="47"/>
      <c r="W3" s="47"/>
      <c r="X3" s="47"/>
      <c r="Y3" s="47"/>
      <c r="Z3" s="47"/>
      <c r="AA3" s="47"/>
      <c r="AB3" s="47"/>
      <c r="AC3" s="47"/>
    </row>
    <row r="4" ht="18" customHeight="1" spans="1:29">
      <c r="A4" s="4"/>
      <c r="B4" s="10" t="s">
        <v>219</v>
      </c>
      <c r="C4" s="11">
        <f>COUNTA(B11:B958)-COUNTIF($N11:$N958,"Skip")</f>
        <v>28</v>
      </c>
      <c r="D4" s="12"/>
      <c r="E4" s="12"/>
      <c r="F4" s="13"/>
      <c r="G4" s="9"/>
      <c r="H4" s="9"/>
      <c r="I4" s="2"/>
      <c r="J4" s="9"/>
      <c r="K4" s="9"/>
      <c r="L4" s="9"/>
      <c r="M4" s="9"/>
      <c r="N4" s="2"/>
      <c r="O4" s="9"/>
      <c r="P4" s="9"/>
      <c r="Q4" s="45"/>
      <c r="R4" s="45"/>
      <c r="S4" s="45"/>
      <c r="T4" s="46"/>
      <c r="U4" s="47" t="s">
        <v>211</v>
      </c>
      <c r="V4" s="47"/>
      <c r="W4" s="47"/>
      <c r="X4" s="47"/>
      <c r="Y4" s="47"/>
      <c r="Z4" s="47"/>
      <c r="AA4" s="47"/>
      <c r="AB4" s="47"/>
      <c r="AC4" s="47"/>
    </row>
    <row r="5" ht="19.5" customHeight="1" spans="1:29">
      <c r="A5" s="4"/>
      <c r="B5" s="10" t="s">
        <v>220</v>
      </c>
      <c r="C5" s="14" t="s">
        <v>209</v>
      </c>
      <c r="D5" s="14" t="s">
        <v>210</v>
      </c>
      <c r="E5" s="14" t="s">
        <v>211</v>
      </c>
      <c r="F5" s="15" t="s">
        <v>212</v>
      </c>
      <c r="G5" s="16"/>
      <c r="H5" s="16"/>
      <c r="I5" s="2"/>
      <c r="J5" s="16"/>
      <c r="K5" s="16"/>
      <c r="L5" s="16"/>
      <c r="M5" s="16"/>
      <c r="N5" s="2"/>
      <c r="O5" s="16"/>
      <c r="P5" s="16"/>
      <c r="Q5" s="48"/>
      <c r="R5" s="48"/>
      <c r="S5" s="48"/>
      <c r="T5" s="49"/>
      <c r="U5" s="47" t="s">
        <v>212</v>
      </c>
      <c r="V5" s="47"/>
      <c r="W5" s="47"/>
      <c r="X5" s="47"/>
      <c r="Y5" s="47"/>
      <c r="Z5" s="47"/>
      <c r="AA5" s="47"/>
      <c r="AB5" s="47"/>
      <c r="AC5" s="47"/>
    </row>
    <row r="6" customHeight="1" spans="1:29">
      <c r="A6" s="4"/>
      <c r="B6" s="10" t="s">
        <v>221</v>
      </c>
      <c r="C6" s="17">
        <f t="shared" ref="C6:F6" si="0">COUNTIF($G11:$G958,C5)</f>
        <v>28</v>
      </c>
      <c r="D6" s="18">
        <f t="shared" si="0"/>
        <v>0</v>
      </c>
      <c r="E6" s="18">
        <f t="shared" si="0"/>
        <v>0</v>
      </c>
      <c r="F6" s="19">
        <f t="shared" si="0"/>
        <v>0</v>
      </c>
      <c r="G6" s="20"/>
      <c r="H6" s="20"/>
      <c r="I6" s="2"/>
      <c r="J6" s="20"/>
      <c r="K6" s="20"/>
      <c r="L6" s="20"/>
      <c r="M6" s="20"/>
      <c r="N6" s="2"/>
      <c r="O6" s="20"/>
      <c r="P6" s="20"/>
      <c r="Q6" s="48"/>
      <c r="R6" s="48"/>
      <c r="S6" s="48"/>
      <c r="T6" s="49"/>
      <c r="U6" s="47"/>
      <c r="V6" s="47"/>
      <c r="W6" s="47"/>
      <c r="X6" s="47"/>
      <c r="Y6" s="47"/>
      <c r="Z6" s="47"/>
      <c r="AA6" s="47"/>
      <c r="AB6" s="47"/>
      <c r="AC6" s="47"/>
    </row>
    <row r="7" customHeight="1" spans="1:29">
      <c r="A7" s="4"/>
      <c r="B7" s="10" t="s">
        <v>222</v>
      </c>
      <c r="C7" s="21">
        <f t="shared" ref="C7:F7" si="1">COUNTIF($L11:$L958,C5)</f>
        <v>28</v>
      </c>
      <c r="D7" s="22">
        <f t="shared" si="1"/>
        <v>0</v>
      </c>
      <c r="E7" s="22">
        <f t="shared" si="1"/>
        <v>0</v>
      </c>
      <c r="F7" s="23">
        <f t="shared" si="1"/>
        <v>0</v>
      </c>
      <c r="G7" s="20"/>
      <c r="H7" s="20"/>
      <c r="I7" s="2"/>
      <c r="J7" s="20"/>
      <c r="K7" s="20"/>
      <c r="L7" s="20"/>
      <c r="M7" s="20"/>
      <c r="N7" s="2"/>
      <c r="O7" s="20"/>
      <c r="P7" s="20"/>
      <c r="Q7" s="48"/>
      <c r="R7" s="48"/>
      <c r="S7" s="48"/>
      <c r="T7" s="49"/>
      <c r="U7" s="47"/>
      <c r="V7" s="47"/>
      <c r="W7" s="47"/>
      <c r="X7" s="47"/>
      <c r="Y7" s="47"/>
      <c r="Z7" s="47"/>
      <c r="AA7" s="47"/>
      <c r="AB7" s="47"/>
      <c r="AC7" s="47"/>
    </row>
    <row r="8" customHeight="1" spans="1:29">
      <c r="A8" s="4"/>
      <c r="B8" s="24" t="s">
        <v>223</v>
      </c>
      <c r="C8" s="25">
        <f t="shared" ref="C8:F8" si="2">COUNTIF($O11:$O958,C5)</f>
        <v>28</v>
      </c>
      <c r="D8" s="26">
        <f t="shared" si="2"/>
        <v>0</v>
      </c>
      <c r="E8" s="26">
        <f t="shared" si="2"/>
        <v>0</v>
      </c>
      <c r="F8" s="27">
        <f t="shared" si="2"/>
        <v>0</v>
      </c>
      <c r="G8" s="20"/>
      <c r="H8" s="20"/>
      <c r="I8" s="2"/>
      <c r="J8" s="20"/>
      <c r="K8" s="20"/>
      <c r="L8" s="20"/>
      <c r="M8" s="20"/>
      <c r="N8" s="2"/>
      <c r="O8" s="20"/>
      <c r="P8" s="20"/>
      <c r="Q8" s="48"/>
      <c r="R8" s="48"/>
      <c r="S8" s="48"/>
      <c r="T8" s="49"/>
      <c r="U8" s="47"/>
      <c r="V8" s="47"/>
      <c r="W8" s="47"/>
      <c r="X8" s="47"/>
      <c r="Y8" s="47"/>
      <c r="Z8" s="47"/>
      <c r="AA8" s="47"/>
      <c r="AB8" s="47"/>
      <c r="AC8" s="47"/>
    </row>
    <row r="9" customHeight="1" spans="1:29">
      <c r="A9" s="1"/>
      <c r="B9" s="2"/>
      <c r="C9" s="2"/>
      <c r="D9" s="3"/>
      <c r="E9" s="3"/>
      <c r="F9" s="2"/>
      <c r="G9" s="20"/>
      <c r="H9" s="2"/>
      <c r="I9" s="2"/>
      <c r="J9" s="20"/>
      <c r="K9" s="20"/>
      <c r="L9" s="20"/>
      <c r="M9" s="2"/>
      <c r="N9" s="2"/>
      <c r="O9" s="20"/>
      <c r="P9" s="2"/>
      <c r="Q9" s="48"/>
      <c r="R9" s="48"/>
      <c r="S9" s="48"/>
      <c r="T9" s="49"/>
      <c r="U9" s="47"/>
      <c r="V9" s="47"/>
      <c r="W9" s="47"/>
      <c r="X9" s="47"/>
      <c r="Y9" s="47"/>
      <c r="Z9" s="47"/>
      <c r="AA9" s="47"/>
      <c r="AB9" s="47"/>
      <c r="AC9" s="47"/>
    </row>
    <row r="10" ht="25.5" customHeight="1" spans="1:29">
      <c r="A10" s="28" t="s">
        <v>224</v>
      </c>
      <c r="B10" s="28" t="s">
        <v>225</v>
      </c>
      <c r="C10" s="28" t="s">
        <v>226</v>
      </c>
      <c r="D10" s="29" t="s">
        <v>227</v>
      </c>
      <c r="E10" s="29" t="s">
        <v>228</v>
      </c>
      <c r="F10" s="28" t="s">
        <v>229</v>
      </c>
      <c r="G10" s="28" t="s">
        <v>221</v>
      </c>
      <c r="H10" s="28" t="s">
        <v>230</v>
      </c>
      <c r="I10" s="28" t="s">
        <v>231</v>
      </c>
      <c r="J10" s="28" t="s">
        <v>230</v>
      </c>
      <c r="K10" s="28" t="s">
        <v>231</v>
      </c>
      <c r="L10" s="28" t="s">
        <v>222</v>
      </c>
      <c r="M10" s="28" t="s">
        <v>230</v>
      </c>
      <c r="N10" s="28" t="s">
        <v>231</v>
      </c>
      <c r="O10" s="28" t="s">
        <v>223</v>
      </c>
      <c r="P10" s="28" t="s">
        <v>230</v>
      </c>
      <c r="Q10" s="28" t="s">
        <v>231</v>
      </c>
      <c r="R10" s="28" t="s">
        <v>232</v>
      </c>
      <c r="S10" s="47"/>
      <c r="T10" s="50"/>
      <c r="U10" s="47"/>
      <c r="V10" s="47"/>
      <c r="W10" s="47"/>
      <c r="X10" s="47"/>
      <c r="Y10" s="47"/>
      <c r="Z10" s="47"/>
      <c r="AA10" s="47"/>
      <c r="AB10" s="47"/>
      <c r="AC10" s="47"/>
    </row>
    <row r="11" ht="66" spans="1:29">
      <c r="A11" s="30" t="s">
        <v>134</v>
      </c>
      <c r="B11" s="30" t="s">
        <v>2369</v>
      </c>
      <c r="C11" s="30" t="s">
        <v>2370</v>
      </c>
      <c r="D11" s="31" t="s">
        <v>2371</v>
      </c>
      <c r="E11" s="31" t="s">
        <v>2372</v>
      </c>
      <c r="F11" s="30" t="s">
        <v>237</v>
      </c>
      <c r="G11" s="32" t="s">
        <v>209</v>
      </c>
      <c r="H11" s="33"/>
      <c r="I11" s="33"/>
      <c r="J11" s="40">
        <v>45991</v>
      </c>
      <c r="K11" s="41" t="s">
        <v>305</v>
      </c>
      <c r="L11" s="42" t="s">
        <v>209</v>
      </c>
      <c r="M11" s="40">
        <v>45993</v>
      </c>
      <c r="N11" s="41" t="s">
        <v>305</v>
      </c>
      <c r="O11" s="42" t="s">
        <v>209</v>
      </c>
      <c r="P11" s="40">
        <v>45995</v>
      </c>
      <c r="Q11" s="41" t="s">
        <v>305</v>
      </c>
      <c r="R11" s="30"/>
      <c r="S11" s="47"/>
      <c r="T11" s="51"/>
      <c r="U11" s="47"/>
      <c r="V11" s="47"/>
      <c r="W11" s="47"/>
      <c r="X11" s="47"/>
      <c r="Y11" s="47"/>
      <c r="Z11" s="47"/>
      <c r="AA11" s="47"/>
      <c r="AB11" s="47"/>
      <c r="AC11" s="47"/>
    </row>
    <row r="12" ht="79.2" spans="1:29">
      <c r="A12" s="30" t="s">
        <v>134</v>
      </c>
      <c r="B12" s="30" t="s">
        <v>2373</v>
      </c>
      <c r="C12" s="30" t="s">
        <v>2374</v>
      </c>
      <c r="D12" s="31" t="s">
        <v>2371</v>
      </c>
      <c r="E12" s="31" t="s">
        <v>2375</v>
      </c>
      <c r="F12" s="30" t="s">
        <v>237</v>
      </c>
      <c r="G12" s="32" t="s">
        <v>209</v>
      </c>
      <c r="H12" s="33"/>
      <c r="I12" s="33"/>
      <c r="J12" s="40">
        <v>45991</v>
      </c>
      <c r="K12" s="41" t="s">
        <v>305</v>
      </c>
      <c r="L12" s="42" t="s">
        <v>209</v>
      </c>
      <c r="M12" s="40">
        <v>45993</v>
      </c>
      <c r="N12" s="41" t="s">
        <v>305</v>
      </c>
      <c r="O12" s="42" t="s">
        <v>209</v>
      </c>
      <c r="P12" s="40">
        <v>45995</v>
      </c>
      <c r="Q12" s="41" t="s">
        <v>305</v>
      </c>
      <c r="R12" s="30"/>
      <c r="S12" s="47"/>
      <c r="T12" s="51"/>
      <c r="U12" s="47"/>
      <c r="V12" s="47"/>
      <c r="W12" s="47"/>
      <c r="X12" s="47"/>
      <c r="Y12" s="47"/>
      <c r="Z12" s="47"/>
      <c r="AA12" s="47"/>
      <c r="AB12" s="47"/>
      <c r="AC12" s="47"/>
    </row>
    <row r="13" ht="66" spans="1:29">
      <c r="A13" s="30" t="s">
        <v>134</v>
      </c>
      <c r="B13" s="30" t="s">
        <v>2376</v>
      </c>
      <c r="C13" s="30" t="s">
        <v>2377</v>
      </c>
      <c r="D13" s="31" t="s">
        <v>2371</v>
      </c>
      <c r="E13" s="31" t="s">
        <v>2378</v>
      </c>
      <c r="F13" s="30" t="s">
        <v>237</v>
      </c>
      <c r="G13" s="32" t="s">
        <v>209</v>
      </c>
      <c r="H13" s="33"/>
      <c r="I13" s="33"/>
      <c r="J13" s="40">
        <v>45991</v>
      </c>
      <c r="K13" s="41" t="s">
        <v>305</v>
      </c>
      <c r="L13" s="42" t="s">
        <v>209</v>
      </c>
      <c r="M13" s="40">
        <v>45993</v>
      </c>
      <c r="N13" s="41" t="s">
        <v>305</v>
      </c>
      <c r="O13" s="42" t="s">
        <v>209</v>
      </c>
      <c r="P13" s="40">
        <v>45995</v>
      </c>
      <c r="Q13" s="41" t="s">
        <v>305</v>
      </c>
      <c r="R13" s="3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</row>
    <row r="14" ht="66" spans="1:29">
      <c r="A14" s="30" t="s">
        <v>136</v>
      </c>
      <c r="B14" s="30" t="s">
        <v>2379</v>
      </c>
      <c r="C14" s="30" t="s">
        <v>2380</v>
      </c>
      <c r="D14" s="31" t="s">
        <v>2381</v>
      </c>
      <c r="E14" s="31" t="s">
        <v>2382</v>
      </c>
      <c r="F14" s="30" t="s">
        <v>237</v>
      </c>
      <c r="G14" s="32" t="s">
        <v>209</v>
      </c>
      <c r="H14" s="33"/>
      <c r="I14" s="33"/>
      <c r="J14" s="40">
        <v>45991</v>
      </c>
      <c r="K14" s="41" t="s">
        <v>305</v>
      </c>
      <c r="L14" s="42" t="s">
        <v>209</v>
      </c>
      <c r="M14" s="40">
        <v>45993</v>
      </c>
      <c r="N14" s="41" t="s">
        <v>305</v>
      </c>
      <c r="O14" s="42" t="s">
        <v>209</v>
      </c>
      <c r="P14" s="40">
        <v>45995</v>
      </c>
      <c r="Q14" s="41" t="s">
        <v>305</v>
      </c>
      <c r="R14" s="3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</row>
    <row r="15" ht="66" spans="1:29">
      <c r="A15" s="30" t="s">
        <v>136</v>
      </c>
      <c r="B15" s="30" t="s">
        <v>2383</v>
      </c>
      <c r="C15" s="30" t="s">
        <v>2384</v>
      </c>
      <c r="D15" s="31" t="s">
        <v>2385</v>
      </c>
      <c r="E15" s="31" t="s">
        <v>2386</v>
      </c>
      <c r="F15" s="30" t="s">
        <v>237</v>
      </c>
      <c r="G15" s="32" t="s">
        <v>209</v>
      </c>
      <c r="H15" s="33"/>
      <c r="I15" s="33"/>
      <c r="J15" s="40">
        <v>45991</v>
      </c>
      <c r="K15" s="41" t="s">
        <v>305</v>
      </c>
      <c r="L15" s="42" t="s">
        <v>209</v>
      </c>
      <c r="M15" s="40">
        <v>45993</v>
      </c>
      <c r="N15" s="41" t="s">
        <v>305</v>
      </c>
      <c r="O15" s="42" t="s">
        <v>209</v>
      </c>
      <c r="P15" s="40">
        <v>45995</v>
      </c>
      <c r="Q15" s="41" t="s">
        <v>305</v>
      </c>
      <c r="R15" s="30"/>
      <c r="S15" s="47"/>
      <c r="T15" s="51"/>
      <c r="U15" s="47"/>
      <c r="V15" s="47"/>
      <c r="W15" s="47"/>
      <c r="X15" s="47"/>
      <c r="Y15" s="47"/>
      <c r="Z15" s="47"/>
      <c r="AA15" s="47"/>
      <c r="AB15" s="47"/>
      <c r="AC15" s="47"/>
    </row>
    <row r="16" ht="66" spans="1:29">
      <c r="A16" s="30" t="s">
        <v>136</v>
      </c>
      <c r="B16" s="30" t="s">
        <v>2387</v>
      </c>
      <c r="C16" s="30" t="s">
        <v>2388</v>
      </c>
      <c r="D16" s="31" t="s">
        <v>2389</v>
      </c>
      <c r="E16" s="31" t="s">
        <v>2390</v>
      </c>
      <c r="F16" s="30" t="s">
        <v>237</v>
      </c>
      <c r="G16" s="32" t="s">
        <v>209</v>
      </c>
      <c r="H16" s="33"/>
      <c r="I16" s="33"/>
      <c r="J16" s="40">
        <v>45991</v>
      </c>
      <c r="K16" s="41" t="s">
        <v>305</v>
      </c>
      <c r="L16" s="42" t="s">
        <v>209</v>
      </c>
      <c r="M16" s="40">
        <v>45993</v>
      </c>
      <c r="N16" s="41" t="s">
        <v>305</v>
      </c>
      <c r="O16" s="42" t="s">
        <v>209</v>
      </c>
      <c r="P16" s="40">
        <v>45995</v>
      </c>
      <c r="Q16" s="41" t="s">
        <v>305</v>
      </c>
      <c r="R16" s="3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</row>
    <row r="17" ht="66" spans="1:29">
      <c r="A17" s="30" t="s">
        <v>136</v>
      </c>
      <c r="B17" s="30" t="s">
        <v>2391</v>
      </c>
      <c r="C17" s="30" t="s">
        <v>2392</v>
      </c>
      <c r="D17" s="31" t="s">
        <v>2393</v>
      </c>
      <c r="E17" s="31" t="s">
        <v>2394</v>
      </c>
      <c r="F17" s="30" t="s">
        <v>237</v>
      </c>
      <c r="G17" s="32" t="s">
        <v>209</v>
      </c>
      <c r="H17" s="33"/>
      <c r="I17" s="33"/>
      <c r="J17" s="40">
        <v>45991</v>
      </c>
      <c r="K17" s="41" t="s">
        <v>305</v>
      </c>
      <c r="L17" s="42" t="s">
        <v>209</v>
      </c>
      <c r="M17" s="40">
        <v>45993</v>
      </c>
      <c r="N17" s="41" t="s">
        <v>305</v>
      </c>
      <c r="O17" s="42" t="s">
        <v>209</v>
      </c>
      <c r="P17" s="40">
        <v>45995</v>
      </c>
      <c r="Q17" s="41" t="s">
        <v>305</v>
      </c>
      <c r="R17" s="30"/>
      <c r="S17" s="47"/>
      <c r="T17" s="51"/>
      <c r="U17" s="47"/>
      <c r="V17" s="47"/>
      <c r="W17" s="47"/>
      <c r="X17" s="47"/>
      <c r="Y17" s="47"/>
      <c r="Z17" s="47"/>
      <c r="AA17" s="47"/>
      <c r="AB17" s="47"/>
      <c r="AC17" s="47"/>
    </row>
    <row r="18" ht="66" spans="1:29">
      <c r="A18" s="30" t="s">
        <v>138</v>
      </c>
      <c r="B18" s="30" t="s">
        <v>2395</v>
      </c>
      <c r="C18" s="30" t="s">
        <v>2396</v>
      </c>
      <c r="D18" s="31" t="s">
        <v>2397</v>
      </c>
      <c r="E18" s="31" t="s">
        <v>2372</v>
      </c>
      <c r="F18" s="30" t="s">
        <v>237</v>
      </c>
      <c r="G18" s="32" t="s">
        <v>209</v>
      </c>
      <c r="H18" s="33"/>
      <c r="I18" s="33"/>
      <c r="J18" s="40">
        <v>45991</v>
      </c>
      <c r="K18" s="41" t="s">
        <v>305</v>
      </c>
      <c r="L18" s="42" t="s">
        <v>209</v>
      </c>
      <c r="M18" s="40">
        <v>45993</v>
      </c>
      <c r="N18" s="41" t="s">
        <v>305</v>
      </c>
      <c r="O18" s="42" t="s">
        <v>209</v>
      </c>
      <c r="P18" s="40">
        <v>45995</v>
      </c>
      <c r="Q18" s="41" t="s">
        <v>305</v>
      </c>
      <c r="R18" s="30"/>
      <c r="S18" s="47"/>
      <c r="T18" s="51"/>
      <c r="U18" s="47"/>
      <c r="V18" s="47"/>
      <c r="W18" s="47"/>
      <c r="X18" s="47"/>
      <c r="Y18" s="47"/>
      <c r="Z18" s="47"/>
      <c r="AA18" s="47"/>
      <c r="AB18" s="47"/>
      <c r="AC18" s="47"/>
    </row>
    <row r="19" ht="79.2" spans="1:29">
      <c r="A19" s="30" t="s">
        <v>138</v>
      </c>
      <c r="B19" s="30" t="s">
        <v>2398</v>
      </c>
      <c r="C19" s="30" t="s">
        <v>2399</v>
      </c>
      <c r="D19" s="31" t="s">
        <v>2400</v>
      </c>
      <c r="E19" s="31" t="s">
        <v>2401</v>
      </c>
      <c r="F19" s="30" t="s">
        <v>237</v>
      </c>
      <c r="G19" s="32" t="s">
        <v>209</v>
      </c>
      <c r="H19" s="33"/>
      <c r="I19" s="33"/>
      <c r="J19" s="40">
        <v>45991</v>
      </c>
      <c r="K19" s="41" t="s">
        <v>305</v>
      </c>
      <c r="L19" s="42" t="s">
        <v>209</v>
      </c>
      <c r="M19" s="40">
        <v>45993</v>
      </c>
      <c r="N19" s="41" t="s">
        <v>305</v>
      </c>
      <c r="O19" s="42" t="s">
        <v>209</v>
      </c>
      <c r="P19" s="40">
        <v>45995</v>
      </c>
      <c r="Q19" s="41" t="s">
        <v>305</v>
      </c>
      <c r="R19" s="3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</row>
    <row r="20" ht="79.2" spans="1:29">
      <c r="A20" s="30" t="s">
        <v>138</v>
      </c>
      <c r="B20" s="30" t="s">
        <v>2402</v>
      </c>
      <c r="C20" s="30" t="s">
        <v>2403</v>
      </c>
      <c r="D20" s="31" t="s">
        <v>2404</v>
      </c>
      <c r="E20" s="31" t="s">
        <v>2401</v>
      </c>
      <c r="F20" s="30" t="s">
        <v>237</v>
      </c>
      <c r="G20" s="32" t="s">
        <v>209</v>
      </c>
      <c r="H20" s="33"/>
      <c r="I20" s="33"/>
      <c r="J20" s="40">
        <v>45991</v>
      </c>
      <c r="K20" s="41" t="s">
        <v>305</v>
      </c>
      <c r="L20" s="42" t="s">
        <v>209</v>
      </c>
      <c r="M20" s="40">
        <v>45993</v>
      </c>
      <c r="N20" s="41" t="s">
        <v>305</v>
      </c>
      <c r="O20" s="42" t="s">
        <v>209</v>
      </c>
      <c r="P20" s="40">
        <v>45995</v>
      </c>
      <c r="Q20" s="41" t="s">
        <v>305</v>
      </c>
      <c r="R20" s="30"/>
      <c r="S20" s="47"/>
      <c r="T20" s="51"/>
      <c r="U20" s="47"/>
      <c r="V20" s="47"/>
      <c r="W20" s="47"/>
      <c r="X20" s="47"/>
      <c r="Y20" s="47"/>
      <c r="Z20" s="47"/>
      <c r="AA20" s="47"/>
      <c r="AB20" s="47"/>
      <c r="AC20" s="47"/>
    </row>
    <row r="21" ht="79.2" spans="1:29">
      <c r="A21" s="30" t="s">
        <v>138</v>
      </c>
      <c r="B21" s="30" t="s">
        <v>2405</v>
      </c>
      <c r="C21" s="30" t="s">
        <v>2406</v>
      </c>
      <c r="D21" s="31" t="s">
        <v>2407</v>
      </c>
      <c r="E21" s="31" t="s">
        <v>2401</v>
      </c>
      <c r="F21" s="30" t="s">
        <v>237</v>
      </c>
      <c r="G21" s="32" t="s">
        <v>209</v>
      </c>
      <c r="H21" s="33"/>
      <c r="I21" s="33"/>
      <c r="J21" s="40">
        <v>45991</v>
      </c>
      <c r="K21" s="41" t="s">
        <v>305</v>
      </c>
      <c r="L21" s="42" t="s">
        <v>209</v>
      </c>
      <c r="M21" s="40">
        <v>45993</v>
      </c>
      <c r="N21" s="41" t="s">
        <v>305</v>
      </c>
      <c r="O21" s="42" t="s">
        <v>209</v>
      </c>
      <c r="P21" s="40">
        <v>45995</v>
      </c>
      <c r="Q21" s="41" t="s">
        <v>305</v>
      </c>
      <c r="R21" s="30"/>
      <c r="S21" s="47"/>
      <c r="T21" s="51"/>
      <c r="U21" s="47"/>
      <c r="V21" s="47"/>
      <c r="W21" s="47"/>
      <c r="X21" s="47"/>
      <c r="Y21" s="47"/>
      <c r="Z21" s="47"/>
      <c r="AA21" s="47"/>
      <c r="AB21" s="47"/>
      <c r="AC21" s="47"/>
    </row>
    <row r="22" ht="79.2" spans="1:29">
      <c r="A22" s="30" t="s">
        <v>138</v>
      </c>
      <c r="B22" s="30" t="s">
        <v>2408</v>
      </c>
      <c r="C22" s="30" t="s">
        <v>2409</v>
      </c>
      <c r="D22" s="31" t="s">
        <v>2410</v>
      </c>
      <c r="E22" s="31" t="s">
        <v>2401</v>
      </c>
      <c r="F22" s="30" t="s">
        <v>237</v>
      </c>
      <c r="G22" s="32" t="s">
        <v>209</v>
      </c>
      <c r="H22" s="33"/>
      <c r="I22" s="33"/>
      <c r="J22" s="40">
        <v>45991</v>
      </c>
      <c r="K22" s="41" t="s">
        <v>305</v>
      </c>
      <c r="L22" s="42" t="s">
        <v>209</v>
      </c>
      <c r="M22" s="40">
        <v>45993</v>
      </c>
      <c r="N22" s="41" t="s">
        <v>305</v>
      </c>
      <c r="O22" s="42" t="s">
        <v>209</v>
      </c>
      <c r="P22" s="40">
        <v>45995</v>
      </c>
      <c r="Q22" s="41" t="s">
        <v>305</v>
      </c>
      <c r="R22" s="30"/>
      <c r="S22" s="47"/>
      <c r="T22" s="51"/>
      <c r="U22" s="47"/>
      <c r="V22" s="47"/>
      <c r="W22" s="47"/>
      <c r="X22" s="47"/>
      <c r="Y22" s="47"/>
      <c r="Z22" s="47"/>
      <c r="AA22" s="47"/>
      <c r="AB22" s="47"/>
      <c r="AC22" s="47"/>
    </row>
    <row r="23" ht="79.2" spans="1:29">
      <c r="A23" s="30" t="s">
        <v>139</v>
      </c>
      <c r="B23" s="30" t="s">
        <v>2411</v>
      </c>
      <c r="C23" s="30" t="s">
        <v>2412</v>
      </c>
      <c r="D23" s="31" t="s">
        <v>2413</v>
      </c>
      <c r="E23" s="31" t="s">
        <v>2414</v>
      </c>
      <c r="F23" s="30" t="s">
        <v>237</v>
      </c>
      <c r="G23" s="32" t="s">
        <v>209</v>
      </c>
      <c r="H23" s="33"/>
      <c r="I23" s="33"/>
      <c r="J23" s="40">
        <v>45991</v>
      </c>
      <c r="K23" s="41" t="s">
        <v>305</v>
      </c>
      <c r="L23" s="42" t="s">
        <v>209</v>
      </c>
      <c r="M23" s="40">
        <v>45993</v>
      </c>
      <c r="N23" s="41" t="s">
        <v>305</v>
      </c>
      <c r="O23" s="42" t="s">
        <v>209</v>
      </c>
      <c r="P23" s="40">
        <v>45995</v>
      </c>
      <c r="Q23" s="41" t="s">
        <v>305</v>
      </c>
      <c r="R23" s="30"/>
      <c r="S23" s="47"/>
      <c r="T23" s="51"/>
      <c r="U23" s="47"/>
      <c r="V23" s="47"/>
      <c r="W23" s="47"/>
      <c r="X23" s="47"/>
      <c r="Y23" s="47"/>
      <c r="Z23" s="47"/>
      <c r="AA23" s="47"/>
      <c r="AB23" s="47"/>
      <c r="AC23" s="47"/>
    </row>
    <row r="24" ht="79.2" outlineLevel="1" spans="1:29">
      <c r="A24" s="30" t="s">
        <v>139</v>
      </c>
      <c r="B24" s="30" t="s">
        <v>2415</v>
      </c>
      <c r="C24" s="30" t="s">
        <v>2416</v>
      </c>
      <c r="D24" s="31" t="s">
        <v>2417</v>
      </c>
      <c r="E24" s="31" t="s">
        <v>2418</v>
      </c>
      <c r="F24" s="30" t="s">
        <v>237</v>
      </c>
      <c r="G24" s="32" t="s">
        <v>209</v>
      </c>
      <c r="H24" s="33"/>
      <c r="I24" s="33"/>
      <c r="J24" s="40">
        <v>45991</v>
      </c>
      <c r="K24" s="41" t="s">
        <v>305</v>
      </c>
      <c r="L24" s="42" t="s">
        <v>209</v>
      </c>
      <c r="M24" s="40">
        <v>45993</v>
      </c>
      <c r="N24" s="41" t="s">
        <v>305</v>
      </c>
      <c r="O24" s="42" t="s">
        <v>209</v>
      </c>
      <c r="P24" s="40">
        <v>45995</v>
      </c>
      <c r="Q24" s="41" t="s">
        <v>305</v>
      </c>
      <c r="R24" s="30"/>
      <c r="S24" s="52"/>
      <c r="T24" s="53"/>
      <c r="U24" s="52"/>
      <c r="V24" s="52"/>
      <c r="W24" s="52"/>
      <c r="X24" s="52"/>
      <c r="Y24" s="52"/>
      <c r="Z24" s="52"/>
      <c r="AA24" s="52"/>
      <c r="AB24" s="52"/>
      <c r="AC24" s="52"/>
    </row>
    <row r="25" ht="79.2" outlineLevel="1" spans="1:29">
      <c r="A25" s="30" t="s">
        <v>139</v>
      </c>
      <c r="B25" s="30" t="s">
        <v>2419</v>
      </c>
      <c r="C25" s="30" t="s">
        <v>2420</v>
      </c>
      <c r="D25" s="31" t="s">
        <v>2421</v>
      </c>
      <c r="E25" s="31" t="s">
        <v>2422</v>
      </c>
      <c r="F25" s="30" t="s">
        <v>237</v>
      </c>
      <c r="G25" s="32" t="s">
        <v>209</v>
      </c>
      <c r="H25" s="33"/>
      <c r="I25" s="33"/>
      <c r="J25" s="40">
        <v>45991</v>
      </c>
      <c r="K25" s="41" t="s">
        <v>305</v>
      </c>
      <c r="L25" s="42" t="s">
        <v>209</v>
      </c>
      <c r="M25" s="40">
        <v>45993</v>
      </c>
      <c r="N25" s="41" t="s">
        <v>305</v>
      </c>
      <c r="O25" s="42" t="s">
        <v>209</v>
      </c>
      <c r="P25" s="40">
        <v>45995</v>
      </c>
      <c r="Q25" s="41" t="s">
        <v>305</v>
      </c>
      <c r="R25" s="30"/>
      <c r="S25" s="43"/>
      <c r="T25" s="53"/>
      <c r="U25" s="43"/>
      <c r="V25" s="43"/>
      <c r="W25" s="43"/>
      <c r="X25" s="43"/>
      <c r="Y25" s="43"/>
      <c r="Z25" s="43"/>
      <c r="AA25" s="43"/>
      <c r="AB25" s="43"/>
      <c r="AC25" s="43"/>
    </row>
    <row r="26" ht="79.2" outlineLevel="1" spans="1:29">
      <c r="A26" s="30" t="s">
        <v>139</v>
      </c>
      <c r="B26" s="30" t="s">
        <v>2423</v>
      </c>
      <c r="C26" s="30" t="s">
        <v>2424</v>
      </c>
      <c r="D26" s="31" t="s">
        <v>2425</v>
      </c>
      <c r="E26" s="31" t="s">
        <v>2313</v>
      </c>
      <c r="F26" s="30" t="s">
        <v>237</v>
      </c>
      <c r="G26" s="32" t="s">
        <v>209</v>
      </c>
      <c r="H26" s="33"/>
      <c r="I26" s="33"/>
      <c r="J26" s="40">
        <v>45991</v>
      </c>
      <c r="K26" s="41" t="s">
        <v>305</v>
      </c>
      <c r="L26" s="42" t="s">
        <v>209</v>
      </c>
      <c r="M26" s="40">
        <v>45993</v>
      </c>
      <c r="N26" s="41" t="s">
        <v>305</v>
      </c>
      <c r="O26" s="42" t="s">
        <v>209</v>
      </c>
      <c r="P26" s="40">
        <v>45995</v>
      </c>
      <c r="Q26" s="41" t="s">
        <v>305</v>
      </c>
      <c r="R26" s="30"/>
      <c r="S26" s="43"/>
      <c r="T26" s="53"/>
      <c r="U26" s="43"/>
      <c r="V26" s="43"/>
      <c r="W26" s="43"/>
      <c r="X26" s="43"/>
      <c r="Y26" s="43"/>
      <c r="Z26" s="43"/>
      <c r="AA26" s="43"/>
      <c r="AB26" s="43"/>
      <c r="AC26" s="43"/>
    </row>
    <row r="27" ht="79.2" outlineLevel="1" spans="1:29">
      <c r="A27" s="30" t="s">
        <v>139</v>
      </c>
      <c r="B27" s="30" t="s">
        <v>2426</v>
      </c>
      <c r="C27" s="30" t="s">
        <v>2427</v>
      </c>
      <c r="D27" s="31" t="s">
        <v>2428</v>
      </c>
      <c r="E27" s="31" t="s">
        <v>2429</v>
      </c>
      <c r="F27" s="30" t="s">
        <v>237</v>
      </c>
      <c r="G27" s="32" t="s">
        <v>209</v>
      </c>
      <c r="H27" s="33"/>
      <c r="I27" s="33"/>
      <c r="J27" s="40">
        <v>45991</v>
      </c>
      <c r="K27" s="41" t="s">
        <v>305</v>
      </c>
      <c r="L27" s="42" t="s">
        <v>209</v>
      </c>
      <c r="M27" s="40">
        <v>45993</v>
      </c>
      <c r="N27" s="41" t="s">
        <v>305</v>
      </c>
      <c r="O27" s="42" t="s">
        <v>209</v>
      </c>
      <c r="P27" s="40">
        <v>45995</v>
      </c>
      <c r="Q27" s="41" t="s">
        <v>305</v>
      </c>
      <c r="R27" s="30"/>
      <c r="S27" s="43"/>
      <c r="T27" s="53"/>
      <c r="U27" s="43"/>
      <c r="V27" s="43"/>
      <c r="W27" s="43"/>
      <c r="X27" s="43"/>
      <c r="Y27" s="43"/>
      <c r="Z27" s="43"/>
      <c r="AA27" s="43"/>
      <c r="AB27" s="43"/>
      <c r="AC27" s="43"/>
    </row>
    <row r="28" ht="79.2" outlineLevel="1" spans="1:29">
      <c r="A28" s="30" t="s">
        <v>139</v>
      </c>
      <c r="B28" s="30" t="s">
        <v>2430</v>
      </c>
      <c r="C28" s="30" t="s">
        <v>2431</v>
      </c>
      <c r="D28" s="31" t="s">
        <v>2432</v>
      </c>
      <c r="E28" s="31" t="s">
        <v>2313</v>
      </c>
      <c r="F28" s="30" t="s">
        <v>237</v>
      </c>
      <c r="G28" s="32" t="s">
        <v>209</v>
      </c>
      <c r="H28" s="33"/>
      <c r="I28" s="33"/>
      <c r="J28" s="40">
        <v>45991</v>
      </c>
      <c r="K28" s="41" t="s">
        <v>305</v>
      </c>
      <c r="L28" s="42" t="s">
        <v>209</v>
      </c>
      <c r="M28" s="40">
        <v>45993</v>
      </c>
      <c r="N28" s="41" t="s">
        <v>305</v>
      </c>
      <c r="O28" s="42" t="s">
        <v>209</v>
      </c>
      <c r="P28" s="40">
        <v>45995</v>
      </c>
      <c r="Q28" s="41" t="s">
        <v>305</v>
      </c>
      <c r="R28" s="30"/>
      <c r="S28" s="43"/>
      <c r="T28" s="53"/>
      <c r="U28" s="43"/>
      <c r="V28" s="43"/>
      <c r="W28" s="43"/>
      <c r="X28" s="43"/>
      <c r="Y28" s="43"/>
      <c r="Z28" s="43"/>
      <c r="AA28" s="43"/>
      <c r="AB28" s="43"/>
      <c r="AC28" s="43"/>
    </row>
    <row r="29" ht="79.2" outlineLevel="1" spans="1:29">
      <c r="A29" s="30" t="s">
        <v>139</v>
      </c>
      <c r="B29" s="30" t="s">
        <v>2433</v>
      </c>
      <c r="C29" s="30" t="s">
        <v>2434</v>
      </c>
      <c r="D29" s="31" t="s">
        <v>2435</v>
      </c>
      <c r="E29" s="31" t="s">
        <v>2429</v>
      </c>
      <c r="F29" s="30" t="s">
        <v>237</v>
      </c>
      <c r="G29" s="32" t="s">
        <v>209</v>
      </c>
      <c r="H29" s="33"/>
      <c r="I29" s="33"/>
      <c r="J29" s="40">
        <v>45991</v>
      </c>
      <c r="K29" s="41" t="s">
        <v>305</v>
      </c>
      <c r="L29" s="42" t="s">
        <v>209</v>
      </c>
      <c r="M29" s="40">
        <v>45993</v>
      </c>
      <c r="N29" s="41" t="s">
        <v>305</v>
      </c>
      <c r="O29" s="42" t="s">
        <v>209</v>
      </c>
      <c r="P29" s="40">
        <v>45995</v>
      </c>
      <c r="Q29" s="41" t="s">
        <v>305</v>
      </c>
      <c r="R29" s="30"/>
      <c r="S29" s="43"/>
      <c r="T29" s="53"/>
      <c r="U29" s="43"/>
      <c r="V29" s="43"/>
      <c r="W29" s="43"/>
      <c r="X29" s="43"/>
      <c r="Y29" s="43"/>
      <c r="Z29" s="43"/>
      <c r="AA29" s="43"/>
      <c r="AB29" s="43"/>
      <c r="AC29" s="43"/>
    </row>
    <row r="30" ht="79.2" outlineLevel="1" spans="1:29">
      <c r="A30" s="30" t="s">
        <v>139</v>
      </c>
      <c r="B30" s="30" t="s">
        <v>2436</v>
      </c>
      <c r="C30" s="30" t="s">
        <v>2437</v>
      </c>
      <c r="D30" s="31" t="s">
        <v>2438</v>
      </c>
      <c r="E30" s="31" t="s">
        <v>2439</v>
      </c>
      <c r="F30" s="30" t="s">
        <v>237</v>
      </c>
      <c r="G30" s="32" t="s">
        <v>209</v>
      </c>
      <c r="H30" s="33"/>
      <c r="I30" s="33"/>
      <c r="J30" s="40">
        <v>45991</v>
      </c>
      <c r="K30" s="41" t="s">
        <v>305</v>
      </c>
      <c r="L30" s="42" t="s">
        <v>209</v>
      </c>
      <c r="M30" s="40">
        <v>45993</v>
      </c>
      <c r="N30" s="41" t="s">
        <v>305</v>
      </c>
      <c r="O30" s="42" t="s">
        <v>209</v>
      </c>
      <c r="P30" s="40">
        <v>45995</v>
      </c>
      <c r="Q30" s="41" t="s">
        <v>305</v>
      </c>
      <c r="R30" s="30"/>
      <c r="S30" s="43"/>
      <c r="T30" s="53"/>
      <c r="U30" s="43"/>
      <c r="V30" s="43"/>
      <c r="W30" s="43"/>
      <c r="X30" s="43"/>
      <c r="Y30" s="43"/>
      <c r="Z30" s="43"/>
      <c r="AA30" s="43"/>
      <c r="AB30" s="43"/>
      <c r="AC30" s="43"/>
    </row>
    <row r="31" ht="79.2" outlineLevel="1" spans="1:29">
      <c r="A31" s="30" t="s">
        <v>137</v>
      </c>
      <c r="B31" s="30" t="s">
        <v>2440</v>
      </c>
      <c r="C31" s="30" t="s">
        <v>2441</v>
      </c>
      <c r="D31" s="31" t="s">
        <v>2442</v>
      </c>
      <c r="E31" s="31" t="s">
        <v>2443</v>
      </c>
      <c r="F31" s="30" t="s">
        <v>237</v>
      </c>
      <c r="G31" s="32" t="s">
        <v>209</v>
      </c>
      <c r="H31" s="33"/>
      <c r="I31" s="33"/>
      <c r="J31" s="40">
        <v>45991</v>
      </c>
      <c r="K31" s="41" t="s">
        <v>305</v>
      </c>
      <c r="L31" s="42" t="s">
        <v>209</v>
      </c>
      <c r="M31" s="40">
        <v>45993</v>
      </c>
      <c r="N31" s="41" t="s">
        <v>305</v>
      </c>
      <c r="O31" s="42" t="s">
        <v>209</v>
      </c>
      <c r="P31" s="40">
        <v>45995</v>
      </c>
      <c r="Q31" s="41" t="s">
        <v>305</v>
      </c>
      <c r="R31" s="30"/>
      <c r="S31" s="43"/>
      <c r="T31" s="53"/>
      <c r="U31" s="43"/>
      <c r="V31" s="43"/>
      <c r="W31" s="43"/>
      <c r="X31" s="43"/>
      <c r="Y31" s="43"/>
      <c r="Z31" s="43"/>
      <c r="AA31" s="43"/>
      <c r="AB31" s="43"/>
      <c r="AC31" s="43"/>
    </row>
    <row r="32" ht="92.4" outlineLevel="1" spans="1:29">
      <c r="A32" s="30" t="s">
        <v>137</v>
      </c>
      <c r="B32" s="30" t="s">
        <v>2444</v>
      </c>
      <c r="C32" s="30" t="s">
        <v>2445</v>
      </c>
      <c r="D32" s="31" t="s">
        <v>2446</v>
      </c>
      <c r="E32" s="31" t="s">
        <v>2443</v>
      </c>
      <c r="F32" s="30" t="s">
        <v>237</v>
      </c>
      <c r="G32" s="32" t="s">
        <v>209</v>
      </c>
      <c r="H32" s="33"/>
      <c r="I32" s="33"/>
      <c r="J32" s="40">
        <v>45991</v>
      </c>
      <c r="K32" s="41" t="s">
        <v>305</v>
      </c>
      <c r="L32" s="42" t="s">
        <v>209</v>
      </c>
      <c r="M32" s="40">
        <v>45993</v>
      </c>
      <c r="N32" s="41" t="s">
        <v>305</v>
      </c>
      <c r="O32" s="42" t="s">
        <v>209</v>
      </c>
      <c r="P32" s="40">
        <v>45995</v>
      </c>
      <c r="Q32" s="41" t="s">
        <v>305</v>
      </c>
      <c r="R32" s="30"/>
      <c r="S32" s="43"/>
      <c r="T32" s="53"/>
      <c r="U32" s="43"/>
      <c r="V32" s="43"/>
      <c r="W32" s="43"/>
      <c r="X32" s="43"/>
      <c r="Y32" s="43"/>
      <c r="Z32" s="43"/>
      <c r="AA32" s="43"/>
      <c r="AB32" s="43"/>
      <c r="AC32" s="43"/>
    </row>
    <row r="33" ht="92.4" outlineLevel="1" spans="1:29">
      <c r="A33" s="30" t="s">
        <v>137</v>
      </c>
      <c r="B33" s="30" t="s">
        <v>2447</v>
      </c>
      <c r="C33" s="30" t="s">
        <v>2448</v>
      </c>
      <c r="D33" s="31" t="s">
        <v>2449</v>
      </c>
      <c r="E33" s="31" t="s">
        <v>2443</v>
      </c>
      <c r="F33" s="30" t="s">
        <v>237</v>
      </c>
      <c r="G33" s="32" t="s">
        <v>209</v>
      </c>
      <c r="H33" s="33"/>
      <c r="I33" s="33"/>
      <c r="J33" s="40">
        <v>45991</v>
      </c>
      <c r="K33" s="41" t="s">
        <v>305</v>
      </c>
      <c r="L33" s="42" t="s">
        <v>209</v>
      </c>
      <c r="M33" s="40">
        <v>45993</v>
      </c>
      <c r="N33" s="41" t="s">
        <v>305</v>
      </c>
      <c r="O33" s="42" t="s">
        <v>209</v>
      </c>
      <c r="P33" s="40">
        <v>45995</v>
      </c>
      <c r="Q33" s="41" t="s">
        <v>305</v>
      </c>
      <c r="R33" s="30"/>
      <c r="S33" s="43"/>
      <c r="T33" s="53"/>
      <c r="U33" s="43"/>
      <c r="V33" s="43"/>
      <c r="W33" s="43"/>
      <c r="X33" s="43"/>
      <c r="Y33" s="43"/>
      <c r="Z33" s="43"/>
      <c r="AA33" s="43"/>
      <c r="AB33" s="43"/>
      <c r="AC33" s="43"/>
    </row>
    <row r="34" ht="79.2" outlineLevel="1" spans="1:29">
      <c r="A34" s="30" t="s">
        <v>137</v>
      </c>
      <c r="B34" s="30" t="s">
        <v>2450</v>
      </c>
      <c r="C34" s="30" t="s">
        <v>2451</v>
      </c>
      <c r="D34" s="31" t="s">
        <v>2452</v>
      </c>
      <c r="E34" s="31" t="s">
        <v>2453</v>
      </c>
      <c r="F34" s="30" t="s">
        <v>237</v>
      </c>
      <c r="G34" s="32" t="s">
        <v>209</v>
      </c>
      <c r="H34" s="33"/>
      <c r="I34" s="33"/>
      <c r="J34" s="40">
        <v>45991</v>
      </c>
      <c r="K34" s="41" t="s">
        <v>305</v>
      </c>
      <c r="L34" s="42" t="s">
        <v>209</v>
      </c>
      <c r="M34" s="40">
        <v>45993</v>
      </c>
      <c r="N34" s="41" t="s">
        <v>305</v>
      </c>
      <c r="O34" s="42" t="s">
        <v>209</v>
      </c>
      <c r="P34" s="40">
        <v>45995</v>
      </c>
      <c r="Q34" s="41" t="s">
        <v>305</v>
      </c>
      <c r="R34" s="30"/>
      <c r="S34" s="43"/>
      <c r="T34" s="53"/>
      <c r="U34" s="43"/>
      <c r="V34" s="43"/>
      <c r="W34" s="43"/>
      <c r="X34" s="43"/>
      <c r="Y34" s="43"/>
      <c r="Z34" s="43"/>
      <c r="AA34" s="43"/>
      <c r="AB34" s="43"/>
      <c r="AC34" s="43"/>
    </row>
    <row r="35" ht="79.2" outlineLevel="1" spans="1:29">
      <c r="A35" s="30" t="s">
        <v>137</v>
      </c>
      <c r="B35" s="30" t="s">
        <v>2454</v>
      </c>
      <c r="C35" s="30" t="s">
        <v>2455</v>
      </c>
      <c r="D35" s="31" t="s">
        <v>2456</v>
      </c>
      <c r="E35" s="31" t="s">
        <v>2453</v>
      </c>
      <c r="F35" s="30" t="s">
        <v>237</v>
      </c>
      <c r="G35" s="32" t="s">
        <v>209</v>
      </c>
      <c r="H35" s="33"/>
      <c r="I35" s="33"/>
      <c r="J35" s="40">
        <v>45991</v>
      </c>
      <c r="K35" s="41" t="s">
        <v>305</v>
      </c>
      <c r="L35" s="42" t="s">
        <v>209</v>
      </c>
      <c r="M35" s="40">
        <v>45993</v>
      </c>
      <c r="N35" s="41" t="s">
        <v>305</v>
      </c>
      <c r="O35" s="42" t="s">
        <v>209</v>
      </c>
      <c r="P35" s="40">
        <v>45995</v>
      </c>
      <c r="Q35" s="41" t="s">
        <v>305</v>
      </c>
      <c r="R35" s="30"/>
      <c r="S35" s="43"/>
      <c r="T35" s="53"/>
      <c r="U35" s="43"/>
      <c r="V35" s="43"/>
      <c r="W35" s="43"/>
      <c r="X35" s="43"/>
      <c r="Y35" s="43"/>
      <c r="Z35" s="43"/>
      <c r="AA35" s="43"/>
      <c r="AB35" s="43"/>
      <c r="AC35" s="43"/>
    </row>
    <row r="36" ht="79.2" outlineLevel="1" spans="1:29">
      <c r="A36" s="30" t="s">
        <v>137</v>
      </c>
      <c r="B36" s="30" t="s">
        <v>2457</v>
      </c>
      <c r="C36" s="30" t="s">
        <v>2458</v>
      </c>
      <c r="D36" s="31" t="s">
        <v>2459</v>
      </c>
      <c r="E36" s="31" t="s">
        <v>2453</v>
      </c>
      <c r="F36" s="30" t="s">
        <v>237</v>
      </c>
      <c r="G36" s="32" t="s">
        <v>209</v>
      </c>
      <c r="H36" s="33"/>
      <c r="I36" s="33"/>
      <c r="J36" s="40">
        <v>45991</v>
      </c>
      <c r="K36" s="41" t="s">
        <v>305</v>
      </c>
      <c r="L36" s="42" t="s">
        <v>209</v>
      </c>
      <c r="M36" s="40">
        <v>45993</v>
      </c>
      <c r="N36" s="41" t="s">
        <v>305</v>
      </c>
      <c r="O36" s="42" t="s">
        <v>209</v>
      </c>
      <c r="P36" s="40">
        <v>45995</v>
      </c>
      <c r="Q36" s="41" t="s">
        <v>305</v>
      </c>
      <c r="R36" s="30"/>
      <c r="S36" s="43"/>
      <c r="T36" s="53"/>
      <c r="U36" s="43"/>
      <c r="V36" s="43"/>
      <c r="W36" s="43"/>
      <c r="X36" s="43"/>
      <c r="Y36" s="43"/>
      <c r="Z36" s="43"/>
      <c r="AA36" s="43"/>
      <c r="AB36" s="43"/>
      <c r="AC36" s="43"/>
    </row>
    <row r="37" ht="79.2" outlineLevel="1" spans="1:29">
      <c r="A37" s="30" t="s">
        <v>137</v>
      </c>
      <c r="B37" s="30" t="s">
        <v>2460</v>
      </c>
      <c r="C37" s="30" t="s">
        <v>2461</v>
      </c>
      <c r="D37" s="31" t="s">
        <v>2462</v>
      </c>
      <c r="E37" s="31" t="s">
        <v>2463</v>
      </c>
      <c r="F37" s="30" t="s">
        <v>237</v>
      </c>
      <c r="G37" s="32" t="s">
        <v>209</v>
      </c>
      <c r="H37" s="33"/>
      <c r="I37" s="33"/>
      <c r="J37" s="40">
        <v>45991</v>
      </c>
      <c r="K37" s="41" t="s">
        <v>305</v>
      </c>
      <c r="L37" s="42" t="s">
        <v>209</v>
      </c>
      <c r="M37" s="40">
        <v>45993</v>
      </c>
      <c r="N37" s="41" t="s">
        <v>305</v>
      </c>
      <c r="O37" s="42" t="s">
        <v>209</v>
      </c>
      <c r="P37" s="40">
        <v>45995</v>
      </c>
      <c r="Q37" s="41" t="s">
        <v>305</v>
      </c>
      <c r="R37" s="30"/>
      <c r="S37" s="43"/>
      <c r="T37" s="53"/>
      <c r="U37" s="43"/>
      <c r="V37" s="43"/>
      <c r="W37" s="43"/>
      <c r="X37" s="43"/>
      <c r="Y37" s="43"/>
      <c r="Z37" s="43"/>
      <c r="AA37" s="43"/>
      <c r="AB37" s="43"/>
      <c r="AC37" s="43"/>
    </row>
    <row r="38" ht="79.2" outlineLevel="1" spans="1:29">
      <c r="A38" s="30" t="s">
        <v>137</v>
      </c>
      <c r="B38" s="30" t="s">
        <v>2464</v>
      </c>
      <c r="C38" s="30" t="s">
        <v>2465</v>
      </c>
      <c r="D38" s="31" t="s">
        <v>2466</v>
      </c>
      <c r="E38" s="31" t="s">
        <v>2467</v>
      </c>
      <c r="F38" s="30" t="s">
        <v>237</v>
      </c>
      <c r="G38" s="32" t="s">
        <v>209</v>
      </c>
      <c r="H38" s="33"/>
      <c r="I38" s="33"/>
      <c r="J38" s="40">
        <v>45991</v>
      </c>
      <c r="K38" s="41" t="s">
        <v>305</v>
      </c>
      <c r="L38" s="42" t="s">
        <v>209</v>
      </c>
      <c r="M38" s="40">
        <v>45993</v>
      </c>
      <c r="N38" s="41" t="s">
        <v>305</v>
      </c>
      <c r="O38" s="42" t="s">
        <v>209</v>
      </c>
      <c r="P38" s="40">
        <v>45991</v>
      </c>
      <c r="Q38" s="41" t="s">
        <v>305</v>
      </c>
      <c r="R38" s="30"/>
      <c r="S38" s="43"/>
      <c r="T38" s="53"/>
      <c r="U38" s="43"/>
      <c r="V38" s="43"/>
      <c r="W38" s="43"/>
      <c r="X38" s="43"/>
      <c r="Y38" s="43"/>
      <c r="Z38" s="43"/>
      <c r="AA38" s="43"/>
      <c r="AB38" s="43"/>
      <c r="AC38" s="43"/>
    </row>
    <row r="39" ht="13.8" outlineLevel="1" spans="1:29">
      <c r="A39" s="30"/>
      <c r="B39" s="30"/>
      <c r="C39" s="30"/>
      <c r="D39" s="31"/>
      <c r="E39" s="31"/>
      <c r="F39" s="30"/>
      <c r="G39" s="32"/>
      <c r="H39" s="33"/>
      <c r="I39" s="33"/>
      <c r="J39" s="40"/>
      <c r="K39" s="41"/>
      <c r="L39" s="42"/>
      <c r="M39" s="40"/>
      <c r="N39" s="41"/>
      <c r="O39" s="42"/>
      <c r="P39" s="40"/>
      <c r="Q39" s="41"/>
      <c r="R39" s="30"/>
      <c r="S39" s="43"/>
      <c r="T39" s="53"/>
      <c r="U39" s="43"/>
      <c r="V39" s="43"/>
      <c r="W39" s="43"/>
      <c r="X39" s="43"/>
      <c r="Y39" s="43"/>
      <c r="Z39" s="43"/>
      <c r="AA39" s="43"/>
      <c r="AB39" s="43"/>
      <c r="AC39" s="43"/>
    </row>
    <row r="40" ht="13.8" outlineLevel="1" spans="1:29">
      <c r="A40" s="30"/>
      <c r="B40" s="30"/>
      <c r="C40" s="30"/>
      <c r="D40" s="31"/>
      <c r="E40" s="31"/>
      <c r="F40" s="30"/>
      <c r="G40" s="32"/>
      <c r="H40" s="33"/>
      <c r="I40" s="33"/>
      <c r="J40" s="40"/>
      <c r="K40" s="41"/>
      <c r="L40" s="42"/>
      <c r="M40" s="40"/>
      <c r="N40" s="41"/>
      <c r="O40" s="42"/>
      <c r="P40" s="40"/>
      <c r="Q40" s="41"/>
      <c r="R40" s="30"/>
      <c r="S40" s="43"/>
      <c r="T40" s="53"/>
      <c r="U40" s="43"/>
      <c r="V40" s="43"/>
      <c r="W40" s="43"/>
      <c r="X40" s="43"/>
      <c r="Y40" s="43"/>
      <c r="Z40" s="43"/>
      <c r="AA40" s="43"/>
      <c r="AB40" s="43"/>
      <c r="AC40" s="43"/>
    </row>
    <row r="41" ht="13.8" spans="1:29">
      <c r="A41" s="30"/>
      <c r="B41" s="30"/>
      <c r="C41" s="30"/>
      <c r="D41" s="31"/>
      <c r="E41" s="31"/>
      <c r="F41" s="30"/>
      <c r="G41" s="32"/>
      <c r="H41" s="33"/>
      <c r="I41" s="33"/>
      <c r="J41" s="40"/>
      <c r="K41" s="41"/>
      <c r="L41" s="42"/>
      <c r="M41" s="40"/>
      <c r="N41" s="41"/>
      <c r="O41" s="42"/>
      <c r="P41" s="40"/>
      <c r="Q41" s="41"/>
      <c r="R41" s="30"/>
      <c r="S41" s="47"/>
      <c r="T41" s="51"/>
      <c r="U41" s="47"/>
      <c r="V41" s="47"/>
      <c r="W41" s="47"/>
      <c r="X41" s="47"/>
      <c r="Y41" s="47"/>
      <c r="Z41" s="47"/>
      <c r="AA41" s="47"/>
      <c r="AB41" s="47"/>
      <c r="AC41" s="47"/>
    </row>
    <row r="42" ht="13.8" spans="1:29">
      <c r="A42" s="30"/>
      <c r="B42" s="30"/>
      <c r="C42" s="30"/>
      <c r="D42" s="31"/>
      <c r="E42" s="31"/>
      <c r="F42" s="30"/>
      <c r="G42" s="32"/>
      <c r="H42" s="33"/>
      <c r="I42" s="33"/>
      <c r="J42" s="40"/>
      <c r="K42" s="41"/>
      <c r="L42" s="42"/>
      <c r="M42" s="40"/>
      <c r="N42" s="41"/>
      <c r="O42" s="42"/>
      <c r="P42" s="40"/>
      <c r="Q42" s="41"/>
      <c r="R42" s="30"/>
      <c r="S42" s="54"/>
      <c r="T42" s="55"/>
      <c r="U42" s="54"/>
      <c r="V42" s="54"/>
      <c r="W42" s="54"/>
      <c r="X42" s="54"/>
      <c r="Y42" s="54"/>
      <c r="Z42" s="54"/>
      <c r="AA42" s="54"/>
      <c r="AB42" s="54"/>
      <c r="AC42" s="54"/>
    </row>
    <row r="43" ht="13.8" spans="1:29">
      <c r="A43" s="30"/>
      <c r="B43" s="30"/>
      <c r="C43" s="30"/>
      <c r="D43" s="31"/>
      <c r="E43" s="31"/>
      <c r="F43" s="30"/>
      <c r="G43" s="32"/>
      <c r="H43" s="33"/>
      <c r="I43" s="33"/>
      <c r="J43" s="40"/>
      <c r="K43" s="41"/>
      <c r="L43" s="42"/>
      <c r="M43" s="40"/>
      <c r="N43" s="41"/>
      <c r="O43" s="42"/>
      <c r="P43" s="40"/>
      <c r="Q43" s="41"/>
      <c r="R43" s="30"/>
      <c r="S43" s="54"/>
      <c r="T43" s="55"/>
      <c r="U43" s="54"/>
      <c r="V43" s="54"/>
      <c r="W43" s="54"/>
      <c r="X43" s="54"/>
      <c r="Y43" s="54"/>
      <c r="Z43" s="54"/>
      <c r="AA43" s="54"/>
      <c r="AB43" s="54"/>
      <c r="AC43" s="54"/>
    </row>
    <row r="44" ht="13.8" outlineLevel="1" spans="1:29">
      <c r="A44" s="30"/>
      <c r="B44" s="30"/>
      <c r="C44" s="30"/>
      <c r="D44" s="31"/>
      <c r="E44" s="31"/>
      <c r="F44" s="30"/>
      <c r="G44" s="32"/>
      <c r="H44" s="33"/>
      <c r="I44" s="33"/>
      <c r="J44" s="40"/>
      <c r="K44" s="41"/>
      <c r="L44" s="42"/>
      <c r="M44" s="40"/>
      <c r="N44" s="41"/>
      <c r="O44" s="42"/>
      <c r="P44" s="40"/>
      <c r="Q44" s="41"/>
      <c r="R44" s="30"/>
      <c r="S44" s="37"/>
      <c r="T44" s="56"/>
      <c r="U44" s="37"/>
      <c r="V44" s="37"/>
      <c r="W44" s="37"/>
      <c r="X44" s="37"/>
      <c r="Y44" s="37"/>
      <c r="Z44" s="37"/>
      <c r="AA44" s="37"/>
      <c r="AB44" s="37"/>
      <c r="AC44" s="37"/>
    </row>
    <row r="45" ht="13.8" outlineLevel="1" spans="1:29">
      <c r="A45" s="30"/>
      <c r="B45" s="30"/>
      <c r="C45" s="30"/>
      <c r="D45" s="31"/>
      <c r="E45" s="31"/>
      <c r="F45" s="30"/>
      <c r="G45" s="32"/>
      <c r="H45" s="33"/>
      <c r="I45" s="33"/>
      <c r="J45" s="40"/>
      <c r="K45" s="41"/>
      <c r="L45" s="42"/>
      <c r="M45" s="40"/>
      <c r="N45" s="41"/>
      <c r="O45" s="42"/>
      <c r="P45" s="40"/>
      <c r="Q45" s="41"/>
      <c r="R45" s="30"/>
      <c r="S45" s="37"/>
      <c r="T45" s="56"/>
      <c r="U45" s="37"/>
      <c r="V45" s="37"/>
      <c r="W45" s="37"/>
      <c r="X45" s="37"/>
      <c r="Y45" s="37"/>
      <c r="Z45" s="37"/>
      <c r="AA45" s="37"/>
      <c r="AB45" s="37"/>
      <c r="AC45" s="37"/>
    </row>
    <row r="46" ht="64.5" customHeight="1" outlineLevel="1" spans="1:29">
      <c r="A46" s="30"/>
      <c r="B46" s="30"/>
      <c r="C46" s="30"/>
      <c r="D46" s="31"/>
      <c r="E46" s="31"/>
      <c r="F46" s="30"/>
      <c r="G46" s="32"/>
      <c r="H46" s="33"/>
      <c r="I46" s="33"/>
      <c r="J46" s="40"/>
      <c r="K46" s="41"/>
      <c r="L46" s="42"/>
      <c r="M46" s="40"/>
      <c r="N46" s="41"/>
      <c r="O46" s="42"/>
      <c r="P46" s="40"/>
      <c r="Q46" s="41"/>
      <c r="R46" s="30"/>
      <c r="S46" s="37"/>
      <c r="T46" s="57"/>
      <c r="U46" s="37"/>
      <c r="V46" s="37"/>
      <c r="W46" s="37"/>
      <c r="X46" s="37"/>
      <c r="Y46" s="37"/>
      <c r="Z46" s="37"/>
      <c r="AA46" s="37"/>
      <c r="AB46" s="37"/>
      <c r="AC46" s="37"/>
    </row>
    <row r="47" ht="64.5" customHeight="1" spans="1:29">
      <c r="A47" s="30"/>
      <c r="B47" s="30"/>
      <c r="C47" s="30"/>
      <c r="D47" s="31"/>
      <c r="E47" s="31"/>
      <c r="F47" s="30"/>
      <c r="G47" s="32"/>
      <c r="H47" s="33"/>
      <c r="I47" s="33"/>
      <c r="J47" s="40"/>
      <c r="K47" s="41"/>
      <c r="L47" s="42"/>
      <c r="M47" s="40"/>
      <c r="N47" s="41"/>
      <c r="O47" s="42"/>
      <c r="P47" s="40"/>
      <c r="Q47" s="41"/>
      <c r="R47" s="30"/>
      <c r="S47" s="54"/>
      <c r="T47" s="55"/>
      <c r="U47" s="54"/>
      <c r="V47" s="54"/>
      <c r="W47" s="54"/>
      <c r="X47" s="54"/>
      <c r="Y47" s="54"/>
      <c r="Z47" s="54"/>
      <c r="AA47" s="54"/>
      <c r="AB47" s="54"/>
      <c r="AC47" s="54"/>
    </row>
    <row r="48" ht="64.5" customHeight="1" outlineLevel="1" spans="1:29">
      <c r="A48" s="30"/>
      <c r="B48" s="30"/>
      <c r="C48" s="30"/>
      <c r="D48" s="31"/>
      <c r="E48" s="31"/>
      <c r="F48" s="30"/>
      <c r="G48" s="32"/>
      <c r="H48" s="33"/>
      <c r="I48" s="33"/>
      <c r="J48" s="40"/>
      <c r="K48" s="41"/>
      <c r="L48" s="42"/>
      <c r="M48" s="40"/>
      <c r="N48" s="41"/>
      <c r="O48" s="42"/>
      <c r="P48" s="40"/>
      <c r="Q48" s="41"/>
      <c r="R48" s="30"/>
      <c r="S48" s="37"/>
      <c r="T48" s="56"/>
      <c r="U48" s="37"/>
      <c r="V48" s="37"/>
      <c r="W48" s="37"/>
      <c r="X48" s="37"/>
      <c r="Y48" s="37"/>
      <c r="Z48" s="37"/>
      <c r="AA48" s="37"/>
      <c r="AB48" s="37"/>
      <c r="AC48" s="37"/>
    </row>
    <row r="49" ht="64.5" customHeight="1" spans="1:29">
      <c r="A49" s="30"/>
      <c r="B49" s="30"/>
      <c r="C49" s="30"/>
      <c r="D49" s="31"/>
      <c r="E49" s="31"/>
      <c r="F49" s="30"/>
      <c r="G49" s="32"/>
      <c r="H49" s="33"/>
      <c r="I49" s="33"/>
      <c r="J49" s="40"/>
      <c r="K49" s="41"/>
      <c r="L49" s="42"/>
      <c r="M49" s="40"/>
      <c r="N49" s="41"/>
      <c r="O49" s="42"/>
      <c r="P49" s="40"/>
      <c r="Q49" s="41"/>
      <c r="R49" s="30"/>
      <c r="S49" s="37"/>
      <c r="T49" s="57"/>
      <c r="U49" s="37"/>
      <c r="V49" s="37"/>
      <c r="W49" s="37"/>
      <c r="X49" s="37"/>
      <c r="Y49" s="37"/>
      <c r="Z49" s="37"/>
      <c r="AA49" s="37"/>
      <c r="AB49" s="37"/>
      <c r="AC49" s="37"/>
    </row>
    <row r="50" ht="30" customHeight="1" spans="1:29">
      <c r="A50" s="30"/>
      <c r="B50" s="30"/>
      <c r="C50" s="30"/>
      <c r="D50" s="31"/>
      <c r="E50" s="31"/>
      <c r="F50" s="30"/>
      <c r="G50" s="32"/>
      <c r="H50" s="33"/>
      <c r="I50" s="33"/>
      <c r="J50" s="40"/>
      <c r="K50" s="41"/>
      <c r="L50" s="42"/>
      <c r="M50" s="40"/>
      <c r="N50" s="41"/>
      <c r="O50" s="42"/>
      <c r="P50" s="40"/>
      <c r="Q50" s="41"/>
      <c r="R50" s="30"/>
      <c r="S50" s="43"/>
      <c r="T50" s="44"/>
      <c r="U50" s="43"/>
      <c r="V50" s="43"/>
      <c r="W50" s="43"/>
      <c r="X50" s="43"/>
      <c r="Y50" s="43"/>
      <c r="Z50" s="43"/>
      <c r="AA50" s="43"/>
      <c r="AB50" s="43"/>
      <c r="AC50" s="43"/>
    </row>
    <row r="51" ht="19.5" customHeight="1" spans="1:29">
      <c r="A51" s="30"/>
      <c r="B51" s="30"/>
      <c r="C51" s="30"/>
      <c r="D51" s="31"/>
      <c r="E51" s="31"/>
      <c r="F51" s="30"/>
      <c r="G51" s="32"/>
      <c r="H51" s="33"/>
      <c r="I51" s="33"/>
      <c r="J51" s="40"/>
      <c r="K51" s="41"/>
      <c r="L51" s="42"/>
      <c r="M51" s="40"/>
      <c r="N51" s="41"/>
      <c r="O51" s="42"/>
      <c r="P51" s="40"/>
      <c r="Q51" s="41"/>
      <c r="R51" s="30"/>
      <c r="S51" s="43"/>
      <c r="T51" s="44"/>
      <c r="U51" s="43"/>
      <c r="V51" s="43"/>
      <c r="W51" s="43"/>
      <c r="X51" s="43"/>
      <c r="Y51" s="43"/>
      <c r="Z51" s="43"/>
      <c r="AA51" s="43"/>
      <c r="AB51" s="43"/>
      <c r="AC51" s="43"/>
    </row>
    <row r="52" ht="28.5" customHeight="1" spans="1:29">
      <c r="A52" s="30"/>
      <c r="B52" s="30"/>
      <c r="C52" s="30"/>
      <c r="D52" s="31"/>
      <c r="E52" s="31"/>
      <c r="F52" s="30"/>
      <c r="G52" s="32"/>
      <c r="H52" s="33"/>
      <c r="I52" s="33"/>
      <c r="J52" s="40"/>
      <c r="K52" s="41"/>
      <c r="L52" s="42"/>
      <c r="M52" s="40"/>
      <c r="N52" s="41"/>
      <c r="O52" s="42"/>
      <c r="P52" s="40"/>
      <c r="Q52" s="41"/>
      <c r="R52" s="30"/>
      <c r="S52" s="43"/>
      <c r="T52" s="44"/>
      <c r="U52" s="43"/>
      <c r="V52" s="43"/>
      <c r="W52" s="43"/>
      <c r="X52" s="43"/>
      <c r="Y52" s="43"/>
      <c r="Z52" s="43"/>
      <c r="AA52" s="43"/>
      <c r="AB52" s="43"/>
      <c r="AC52" s="43"/>
    </row>
    <row r="53" ht="24.75" customHeight="1" spans="1:29">
      <c r="A53" s="30"/>
      <c r="B53" s="30"/>
      <c r="C53" s="30"/>
      <c r="D53" s="31"/>
      <c r="E53" s="31"/>
      <c r="F53" s="30"/>
      <c r="G53" s="32"/>
      <c r="H53" s="33"/>
      <c r="I53" s="33"/>
      <c r="J53" s="40"/>
      <c r="K53" s="41"/>
      <c r="L53" s="42"/>
      <c r="M53" s="40"/>
      <c r="N53" s="41"/>
      <c r="O53" s="42"/>
      <c r="P53" s="40"/>
      <c r="Q53" s="41"/>
      <c r="R53" s="30"/>
      <c r="S53" s="43"/>
      <c r="T53" s="44"/>
      <c r="U53" s="43"/>
      <c r="V53" s="43"/>
      <c r="W53" s="43"/>
      <c r="X53" s="43"/>
      <c r="Y53" s="43"/>
      <c r="Z53" s="43"/>
      <c r="AA53" s="43"/>
      <c r="AB53" s="43"/>
      <c r="AC53" s="43"/>
    </row>
    <row r="54" ht="35.25" customHeight="1" spans="1:29">
      <c r="A54" s="30"/>
      <c r="B54" s="30"/>
      <c r="C54" s="30"/>
      <c r="D54" s="31"/>
      <c r="E54" s="31"/>
      <c r="F54" s="30"/>
      <c r="G54" s="32"/>
      <c r="H54" s="33"/>
      <c r="I54" s="33"/>
      <c r="J54" s="40"/>
      <c r="K54" s="41"/>
      <c r="L54" s="42"/>
      <c r="M54" s="40"/>
      <c r="N54" s="41"/>
      <c r="O54" s="42"/>
      <c r="P54" s="40"/>
      <c r="Q54" s="41"/>
      <c r="R54" s="30"/>
      <c r="S54" s="43"/>
      <c r="T54" s="44"/>
      <c r="U54" s="43"/>
      <c r="V54" s="43"/>
      <c r="W54" s="43"/>
      <c r="X54" s="43"/>
      <c r="Y54" s="43"/>
      <c r="Z54" s="43"/>
      <c r="AA54" s="43"/>
      <c r="AB54" s="43"/>
      <c r="AC54" s="43"/>
    </row>
    <row r="55" ht="33.75" customHeight="1" spans="1:29">
      <c r="A55" s="30"/>
      <c r="B55" s="30"/>
      <c r="C55" s="30"/>
      <c r="D55" s="31"/>
      <c r="E55" s="31"/>
      <c r="F55" s="30"/>
      <c r="G55" s="32"/>
      <c r="H55" s="33"/>
      <c r="I55" s="33"/>
      <c r="J55" s="40"/>
      <c r="K55" s="41"/>
      <c r="L55" s="42"/>
      <c r="M55" s="40"/>
      <c r="N55" s="41"/>
      <c r="O55" s="42"/>
      <c r="P55" s="40"/>
      <c r="Q55" s="41"/>
      <c r="R55" s="30"/>
      <c r="S55" s="43"/>
      <c r="T55" s="44"/>
      <c r="U55" s="43"/>
      <c r="V55" s="43"/>
      <c r="W55" s="43"/>
      <c r="X55" s="43"/>
      <c r="Y55" s="43"/>
      <c r="Z55" s="43"/>
      <c r="AA55" s="43"/>
      <c r="AB55" s="43"/>
      <c r="AC55" s="43"/>
    </row>
    <row r="56" ht="34.5" customHeight="1" spans="1:29">
      <c r="A56" s="30"/>
      <c r="B56" s="30"/>
      <c r="C56" s="30"/>
      <c r="D56" s="31"/>
      <c r="E56" s="31"/>
      <c r="F56" s="30"/>
      <c r="G56" s="32"/>
      <c r="H56" s="33"/>
      <c r="I56" s="33"/>
      <c r="J56" s="40"/>
      <c r="K56" s="41"/>
      <c r="L56" s="42"/>
      <c r="M56" s="40"/>
      <c r="N56" s="41"/>
      <c r="O56" s="42"/>
      <c r="P56" s="40"/>
      <c r="Q56" s="41"/>
      <c r="R56" s="30"/>
      <c r="S56" s="43"/>
      <c r="T56" s="44"/>
      <c r="U56" s="43"/>
      <c r="V56" s="43"/>
      <c r="W56" s="43"/>
      <c r="X56" s="43"/>
      <c r="Y56" s="43"/>
      <c r="Z56" s="43"/>
      <c r="AA56" s="43"/>
      <c r="AB56" s="43"/>
      <c r="AC56" s="43"/>
    </row>
    <row r="57" ht="47.25" customHeight="1" spans="1:29">
      <c r="A57" s="30"/>
      <c r="B57" s="30"/>
      <c r="C57" s="30"/>
      <c r="D57" s="31"/>
      <c r="E57" s="31"/>
      <c r="F57" s="30"/>
      <c r="G57" s="32"/>
      <c r="H57" s="33"/>
      <c r="I57" s="33"/>
      <c r="J57" s="40"/>
      <c r="K57" s="41"/>
      <c r="L57" s="42"/>
      <c r="M57" s="40"/>
      <c r="N57" s="41"/>
      <c r="O57" s="42"/>
      <c r="P57" s="40"/>
      <c r="Q57" s="41"/>
      <c r="R57" s="30"/>
      <c r="S57" s="43"/>
      <c r="T57" s="44"/>
      <c r="U57" s="43"/>
      <c r="V57" s="43"/>
      <c r="W57" s="43"/>
      <c r="X57" s="43"/>
      <c r="Y57" s="43"/>
      <c r="Z57" s="43"/>
      <c r="AA57" s="43"/>
      <c r="AB57" s="43"/>
      <c r="AC57" s="43"/>
    </row>
    <row r="58" ht="25.5" customHeight="1" spans="1:29">
      <c r="A58" s="30"/>
      <c r="B58" s="30"/>
      <c r="C58" s="30"/>
      <c r="D58" s="31"/>
      <c r="E58" s="31"/>
      <c r="F58" s="30"/>
      <c r="G58" s="32"/>
      <c r="H58" s="33"/>
      <c r="I58" s="33"/>
      <c r="J58" s="40"/>
      <c r="K58" s="41"/>
      <c r="L58" s="42"/>
      <c r="M58" s="40"/>
      <c r="N58" s="41"/>
      <c r="O58" s="42"/>
      <c r="P58" s="40"/>
      <c r="Q58" s="41"/>
      <c r="R58" s="30"/>
      <c r="S58" s="43"/>
      <c r="T58" s="44"/>
      <c r="U58" s="43"/>
      <c r="V58" s="43"/>
      <c r="W58" s="43"/>
      <c r="X58" s="43"/>
      <c r="Y58" s="43"/>
      <c r="Z58" s="43"/>
      <c r="AA58" s="43"/>
      <c r="AB58" s="43"/>
      <c r="AC58" s="43"/>
    </row>
    <row r="59" ht="21.75" customHeight="1" spans="1:29">
      <c r="A59" s="30"/>
      <c r="B59" s="30"/>
      <c r="C59" s="30"/>
      <c r="D59" s="31"/>
      <c r="E59" s="31"/>
      <c r="F59" s="30"/>
      <c r="G59" s="32"/>
      <c r="H59" s="33"/>
      <c r="I59" s="33"/>
      <c r="J59" s="40"/>
      <c r="K59" s="41"/>
      <c r="L59" s="42"/>
      <c r="M59" s="40"/>
      <c r="N59" s="41"/>
      <c r="O59" s="42"/>
      <c r="P59" s="40"/>
      <c r="Q59" s="41"/>
      <c r="R59" s="30"/>
      <c r="S59" s="43"/>
      <c r="T59" s="44"/>
      <c r="U59" s="43"/>
      <c r="V59" s="43"/>
      <c r="W59" s="43"/>
      <c r="X59" s="43"/>
      <c r="Y59" s="43"/>
      <c r="Z59" s="43"/>
      <c r="AA59" s="43"/>
      <c r="AB59" s="43"/>
      <c r="AC59" s="43"/>
    </row>
    <row r="60" ht="21.75" customHeight="1" spans="1:29">
      <c r="A60" s="30"/>
      <c r="B60" s="30"/>
      <c r="C60" s="30"/>
      <c r="D60" s="31"/>
      <c r="E60" s="31"/>
      <c r="F60" s="30"/>
      <c r="G60" s="32"/>
      <c r="H60" s="33"/>
      <c r="I60" s="33"/>
      <c r="J60" s="40"/>
      <c r="K60" s="41"/>
      <c r="L60" s="42"/>
      <c r="M60" s="40"/>
      <c r="N60" s="41"/>
      <c r="O60" s="42"/>
      <c r="P60" s="40"/>
      <c r="Q60" s="41"/>
      <c r="R60" s="30"/>
      <c r="S60" s="43"/>
      <c r="T60" s="44"/>
      <c r="U60" s="43"/>
      <c r="V60" s="43"/>
      <c r="W60" s="43"/>
      <c r="X60" s="43"/>
      <c r="Y60" s="43"/>
      <c r="Z60" s="43"/>
      <c r="AA60" s="43"/>
      <c r="AB60" s="43"/>
      <c r="AC60" s="43"/>
    </row>
    <row r="61" ht="32.25" customHeight="1" spans="1:29">
      <c r="A61" s="34"/>
      <c r="B61" s="34"/>
      <c r="C61" s="35"/>
      <c r="D61" s="36"/>
      <c r="E61" s="36"/>
      <c r="F61" s="30"/>
      <c r="G61" s="32"/>
      <c r="H61" s="33"/>
      <c r="I61" s="33"/>
      <c r="J61" s="40"/>
      <c r="K61" s="41"/>
      <c r="L61" s="42"/>
      <c r="M61" s="40"/>
      <c r="N61" s="41"/>
      <c r="O61" s="42"/>
      <c r="P61" s="40"/>
      <c r="Q61" s="41"/>
      <c r="R61" s="30"/>
      <c r="S61" s="43"/>
      <c r="T61" s="44"/>
      <c r="U61" s="43"/>
      <c r="V61" s="43"/>
      <c r="W61" s="43"/>
      <c r="X61" s="43"/>
      <c r="Y61" s="43"/>
      <c r="Z61" s="43"/>
      <c r="AA61" s="43"/>
      <c r="AB61" s="43"/>
      <c r="AC61" s="43"/>
    </row>
    <row r="62" ht="12.75" customHeight="1" spans="1:29">
      <c r="A62" s="37"/>
      <c r="B62" s="37"/>
      <c r="C62" s="38"/>
      <c r="D62" s="39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T62" s="44"/>
      <c r="U62" s="43"/>
      <c r="V62" s="43"/>
      <c r="W62" s="43"/>
      <c r="X62" s="43"/>
      <c r="Y62" s="43"/>
      <c r="Z62" s="43"/>
      <c r="AA62" s="43"/>
      <c r="AB62" s="43"/>
      <c r="AC62" s="43"/>
    </row>
    <row r="63" ht="12.75" customHeight="1" spans="1:29">
      <c r="A63" s="37"/>
      <c r="B63" s="37"/>
      <c r="C63" s="38"/>
      <c r="D63" s="39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43"/>
      <c r="T63" s="44"/>
      <c r="U63" s="43"/>
      <c r="V63" s="43"/>
      <c r="W63" s="43"/>
      <c r="X63" s="43"/>
      <c r="Y63" s="43"/>
      <c r="Z63" s="43"/>
      <c r="AA63" s="43"/>
      <c r="AB63" s="43"/>
      <c r="AC63" s="43"/>
    </row>
    <row r="64" ht="12.75" customHeight="1" spans="1:29">
      <c r="A64" s="37"/>
      <c r="B64" s="37"/>
      <c r="C64" s="38"/>
      <c r="D64" s="39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</row>
    <row r="65" ht="12.75" customHeight="1" spans="1:29">
      <c r="A65" s="37"/>
      <c r="B65" s="37"/>
      <c r="C65" s="38"/>
      <c r="D65" s="39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43"/>
      <c r="T65" s="44"/>
      <c r="U65" s="43"/>
      <c r="V65" s="43"/>
      <c r="W65" s="43"/>
      <c r="X65" s="43"/>
      <c r="Y65" s="43"/>
      <c r="Z65" s="43"/>
      <c r="AA65" s="43"/>
      <c r="AB65" s="43"/>
      <c r="AC65" s="43"/>
    </row>
    <row r="66" ht="12.75" customHeight="1" spans="1:29">
      <c r="A66" s="37"/>
      <c r="B66" s="37"/>
      <c r="C66" s="38"/>
      <c r="D66" s="39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T66" s="44"/>
      <c r="U66" s="43"/>
      <c r="V66" s="43"/>
      <c r="W66" s="43"/>
      <c r="X66" s="43"/>
      <c r="Y66" s="43"/>
      <c r="Z66" s="43"/>
      <c r="AA66" s="43"/>
      <c r="AB66" s="43"/>
      <c r="AC66" s="43"/>
    </row>
    <row r="67" ht="12.75" customHeight="1" spans="1:29">
      <c r="A67" s="37"/>
      <c r="B67" s="37"/>
      <c r="C67" s="38"/>
      <c r="D67" s="39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43"/>
      <c r="T67" s="44"/>
      <c r="U67" s="43"/>
      <c r="V67" s="43"/>
      <c r="W67" s="43"/>
      <c r="X67" s="43"/>
      <c r="Y67" s="43"/>
      <c r="Z67" s="43"/>
      <c r="AA67" s="43"/>
      <c r="AB67" s="43"/>
      <c r="AC67" s="43"/>
    </row>
    <row r="68" ht="12.75" customHeight="1" spans="1:29">
      <c r="A68" s="37"/>
      <c r="B68" s="37"/>
      <c r="C68" s="38"/>
      <c r="D68" s="39"/>
      <c r="E68" s="3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43"/>
      <c r="T68" s="44"/>
      <c r="U68" s="43"/>
      <c r="V68" s="43"/>
      <c r="W68" s="43"/>
      <c r="X68" s="43"/>
      <c r="Y68" s="43"/>
      <c r="Z68" s="43"/>
      <c r="AA68" s="43"/>
      <c r="AB68" s="43"/>
      <c r="AC68" s="43"/>
    </row>
    <row r="69" ht="12.75" customHeight="1" spans="1:29">
      <c r="A69" s="37"/>
      <c r="B69" s="37"/>
      <c r="C69" s="38"/>
      <c r="D69" s="39"/>
      <c r="E69" s="3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43"/>
      <c r="T69" s="44"/>
      <c r="U69" s="43"/>
      <c r="V69" s="43"/>
      <c r="W69" s="43"/>
      <c r="X69" s="43"/>
      <c r="Y69" s="43"/>
      <c r="Z69" s="43"/>
      <c r="AA69" s="43"/>
      <c r="AB69" s="43"/>
      <c r="AC69" s="43"/>
    </row>
    <row r="70" ht="12.75" customHeight="1" spans="1:29">
      <c r="A70" s="37"/>
      <c r="B70" s="37"/>
      <c r="C70" s="38"/>
      <c r="D70" s="39"/>
      <c r="E70" s="3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T70" s="44"/>
      <c r="U70" s="43"/>
      <c r="V70" s="43"/>
      <c r="W70" s="43"/>
      <c r="X70" s="43"/>
      <c r="Y70" s="43"/>
      <c r="Z70" s="43"/>
      <c r="AA70" s="43"/>
      <c r="AB70" s="43"/>
      <c r="AC70" s="43"/>
    </row>
    <row r="71" ht="12.75" customHeight="1" spans="1:29">
      <c r="A71" s="37"/>
      <c r="B71" s="37"/>
      <c r="C71" s="38"/>
      <c r="D71" s="39"/>
      <c r="E71" s="3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43"/>
      <c r="T71" s="44"/>
      <c r="U71" s="43"/>
      <c r="V71" s="43"/>
      <c r="W71" s="43"/>
      <c r="X71" s="43"/>
      <c r="Y71" s="43"/>
      <c r="Z71" s="43"/>
      <c r="AA71" s="43"/>
      <c r="AB71" s="43"/>
      <c r="AC71" s="43"/>
    </row>
    <row r="72" ht="12.75" customHeight="1" spans="1:29">
      <c r="A72" s="37"/>
      <c r="B72" s="37"/>
      <c r="C72" s="38"/>
      <c r="D72" s="39"/>
      <c r="E72" s="3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ht="12.75" customHeight="1" spans="1:29">
      <c r="A73" s="37"/>
      <c r="B73" s="37"/>
      <c r="C73" s="38"/>
      <c r="D73" s="39"/>
      <c r="E73" s="3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43"/>
      <c r="T73" s="44"/>
      <c r="U73" s="43"/>
      <c r="V73" s="43"/>
      <c r="W73" s="43"/>
      <c r="X73" s="43"/>
      <c r="Y73" s="43"/>
      <c r="Z73" s="43"/>
      <c r="AA73" s="43"/>
      <c r="AB73" s="43"/>
      <c r="AC73" s="43"/>
    </row>
    <row r="74" ht="12.75" customHeight="1" spans="1:29">
      <c r="A74" s="37"/>
      <c r="B74" s="37"/>
      <c r="C74" s="38"/>
      <c r="D74" s="39"/>
      <c r="E74" s="3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ht="12.75" customHeight="1" spans="1:29">
      <c r="A75" s="37"/>
      <c r="B75" s="37"/>
      <c r="C75" s="38"/>
      <c r="D75" s="39"/>
      <c r="E75" s="3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43"/>
      <c r="T75" s="44"/>
      <c r="U75" s="43"/>
      <c r="V75" s="43"/>
      <c r="W75" s="43"/>
      <c r="X75" s="43"/>
      <c r="Y75" s="43"/>
      <c r="Z75" s="43"/>
      <c r="AA75" s="43"/>
      <c r="AB75" s="43"/>
      <c r="AC75" s="43"/>
    </row>
    <row r="76" ht="12.75" customHeight="1" spans="1:29">
      <c r="A76" s="37"/>
      <c r="B76" s="37"/>
      <c r="C76" s="38"/>
      <c r="D76" s="39"/>
      <c r="E76" s="3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43"/>
      <c r="T76" s="44"/>
      <c r="U76" s="43"/>
      <c r="V76" s="43"/>
      <c r="W76" s="43"/>
      <c r="X76" s="43"/>
      <c r="Y76" s="43"/>
      <c r="Z76" s="43"/>
      <c r="AA76" s="43"/>
      <c r="AB76" s="43"/>
      <c r="AC76" s="43"/>
    </row>
    <row r="77" ht="12.75" customHeight="1" spans="1:29">
      <c r="A77" s="37"/>
      <c r="B77" s="37"/>
      <c r="C77" s="38"/>
      <c r="D77" s="39"/>
      <c r="E77" s="3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43"/>
      <c r="T77" s="44"/>
      <c r="U77" s="43"/>
      <c r="V77" s="43"/>
      <c r="W77" s="43"/>
      <c r="X77" s="43"/>
      <c r="Y77" s="43"/>
      <c r="Z77" s="43"/>
      <c r="AA77" s="43"/>
      <c r="AB77" s="43"/>
      <c r="AC77" s="43"/>
    </row>
    <row r="78" ht="12.75" customHeight="1" spans="1:29">
      <c r="A78" s="37"/>
      <c r="B78" s="37"/>
      <c r="C78" s="38"/>
      <c r="D78" s="39"/>
      <c r="E78" s="3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T78" s="44"/>
      <c r="U78" s="43"/>
      <c r="V78" s="43"/>
      <c r="W78" s="43"/>
      <c r="X78" s="43"/>
      <c r="Y78" s="43"/>
      <c r="Z78" s="43"/>
      <c r="AA78" s="43"/>
      <c r="AB78" s="43"/>
      <c r="AC78" s="43"/>
    </row>
    <row r="79" ht="12.75" customHeight="1" spans="1:29">
      <c r="A79" s="37"/>
      <c r="B79" s="37"/>
      <c r="C79" s="38"/>
      <c r="D79" s="39"/>
      <c r="E79" s="3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43"/>
      <c r="T79" s="44"/>
      <c r="U79" s="43"/>
      <c r="V79" s="43"/>
      <c r="W79" s="43"/>
      <c r="X79" s="43"/>
      <c r="Y79" s="43"/>
      <c r="Z79" s="43"/>
      <c r="AA79" s="43"/>
      <c r="AB79" s="43"/>
      <c r="AC79" s="43"/>
    </row>
    <row r="80" ht="12.75" customHeight="1" spans="1:29">
      <c r="A80" s="37"/>
      <c r="B80" s="37"/>
      <c r="C80" s="38"/>
      <c r="D80" s="39"/>
      <c r="E80" s="39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43"/>
      <c r="T80" s="44"/>
      <c r="U80" s="43"/>
      <c r="V80" s="43"/>
      <c r="W80" s="43"/>
      <c r="X80" s="43"/>
      <c r="Y80" s="43"/>
      <c r="Z80" s="43"/>
      <c r="AA80" s="43"/>
      <c r="AB80" s="43"/>
      <c r="AC80" s="43"/>
    </row>
    <row r="81" ht="12.75" customHeight="1" spans="1:29">
      <c r="A81" s="37"/>
      <c r="B81" s="37"/>
      <c r="C81" s="38"/>
      <c r="D81" s="39"/>
      <c r="E81" s="39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43"/>
      <c r="T81" s="44"/>
      <c r="U81" s="43"/>
      <c r="V81" s="43"/>
      <c r="W81" s="43"/>
      <c r="X81" s="43"/>
      <c r="Y81" s="43"/>
      <c r="Z81" s="43"/>
      <c r="AA81" s="43"/>
      <c r="AB81" s="43"/>
      <c r="AC81" s="43"/>
    </row>
    <row r="82" ht="12.75" customHeight="1" spans="1:29">
      <c r="A82" s="37"/>
      <c r="B82" s="37"/>
      <c r="C82" s="38"/>
      <c r="D82" s="39"/>
      <c r="E82" s="39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T82" s="44"/>
      <c r="U82" s="43"/>
      <c r="V82" s="43"/>
      <c r="W82" s="43"/>
      <c r="X82" s="43"/>
      <c r="Y82" s="43"/>
      <c r="Z82" s="43"/>
      <c r="AA82" s="43"/>
      <c r="AB82" s="43"/>
      <c r="AC82" s="43"/>
    </row>
    <row r="83" ht="12.75" customHeight="1" spans="1:29">
      <c r="A83" s="37"/>
      <c r="B83" s="37"/>
      <c r="C83" s="38"/>
      <c r="D83" s="39"/>
      <c r="E83" s="39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43"/>
      <c r="T83" s="44"/>
      <c r="U83" s="43"/>
      <c r="V83" s="43"/>
      <c r="W83" s="43"/>
      <c r="X83" s="43"/>
      <c r="Y83" s="43"/>
      <c r="Z83" s="43"/>
      <c r="AA83" s="43"/>
      <c r="AB83" s="43"/>
      <c r="AC83" s="43"/>
    </row>
    <row r="84" ht="12.75" customHeight="1" spans="1:29">
      <c r="A84" s="37"/>
      <c r="B84" s="37"/>
      <c r="C84" s="38"/>
      <c r="D84" s="39"/>
      <c r="E84" s="39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43"/>
      <c r="T84" s="44"/>
      <c r="U84" s="43"/>
      <c r="V84" s="43"/>
      <c r="W84" s="43"/>
      <c r="X84" s="43"/>
      <c r="Y84" s="43"/>
      <c r="Z84" s="43"/>
      <c r="AA84" s="43"/>
      <c r="AB84" s="43"/>
      <c r="AC84" s="43"/>
    </row>
    <row r="85" ht="12.75" customHeight="1" spans="1:29">
      <c r="A85" s="37"/>
      <c r="B85" s="37"/>
      <c r="C85" s="38"/>
      <c r="D85" s="39"/>
      <c r="E85" s="39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43"/>
      <c r="T85" s="44"/>
      <c r="U85" s="43"/>
      <c r="V85" s="43"/>
      <c r="W85" s="43"/>
      <c r="X85" s="43"/>
      <c r="Y85" s="43"/>
      <c r="Z85" s="43"/>
      <c r="AA85" s="43"/>
      <c r="AB85" s="43"/>
      <c r="AC85" s="43"/>
    </row>
    <row r="86" ht="12.75" customHeight="1" spans="1:29">
      <c r="A86" s="37"/>
      <c r="B86" s="37"/>
      <c r="C86" s="38"/>
      <c r="D86" s="39"/>
      <c r="E86" s="39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T86" s="44"/>
      <c r="U86" s="43"/>
      <c r="V86" s="43"/>
      <c r="W86" s="43"/>
      <c r="X86" s="43"/>
      <c r="Y86" s="43"/>
      <c r="Z86" s="43"/>
      <c r="AA86" s="43"/>
      <c r="AB86" s="43"/>
      <c r="AC86" s="43"/>
    </row>
    <row r="87" ht="12.75" customHeight="1" spans="1:29">
      <c r="A87" s="37"/>
      <c r="B87" s="37"/>
      <c r="C87" s="38"/>
      <c r="D87" s="39"/>
      <c r="E87" s="39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43"/>
      <c r="T87" s="44"/>
      <c r="U87" s="43"/>
      <c r="V87" s="43"/>
      <c r="W87" s="43"/>
      <c r="X87" s="43"/>
      <c r="Y87" s="43"/>
      <c r="Z87" s="43"/>
      <c r="AA87" s="43"/>
      <c r="AB87" s="43"/>
      <c r="AC87" s="43"/>
    </row>
    <row r="88" ht="12.75" customHeight="1" spans="1:29">
      <c r="A88" s="37"/>
      <c r="B88" s="37"/>
      <c r="C88" s="38"/>
      <c r="D88" s="39"/>
      <c r="E88" s="39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43"/>
      <c r="T88" s="44"/>
      <c r="U88" s="43"/>
      <c r="V88" s="43"/>
      <c r="W88" s="43"/>
      <c r="X88" s="43"/>
      <c r="Y88" s="43"/>
      <c r="Z88" s="43"/>
      <c r="AA88" s="43"/>
      <c r="AB88" s="43"/>
      <c r="AC88" s="43"/>
    </row>
    <row r="89" ht="12.75" customHeight="1" spans="1:29">
      <c r="A89" s="37"/>
      <c r="B89" s="37"/>
      <c r="C89" s="38"/>
      <c r="D89" s="39"/>
      <c r="E89" s="39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43"/>
      <c r="T89" s="44"/>
      <c r="U89" s="43"/>
      <c r="V89" s="43"/>
      <c r="W89" s="43"/>
      <c r="X89" s="43"/>
      <c r="Y89" s="43"/>
      <c r="Z89" s="43"/>
      <c r="AA89" s="43"/>
      <c r="AB89" s="43"/>
      <c r="AC89" s="43"/>
    </row>
    <row r="90" ht="12.75" customHeight="1" spans="1:29">
      <c r="A90" s="37"/>
      <c r="B90" s="37"/>
      <c r="C90" s="38"/>
      <c r="D90" s="39"/>
      <c r="E90" s="39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T90" s="44"/>
      <c r="U90" s="43"/>
      <c r="V90" s="43"/>
      <c r="W90" s="43"/>
      <c r="X90" s="43"/>
      <c r="Y90" s="43"/>
      <c r="Z90" s="43"/>
      <c r="AA90" s="43"/>
      <c r="AB90" s="43"/>
      <c r="AC90" s="43"/>
    </row>
    <row r="91" ht="12.75" customHeight="1" spans="1:29">
      <c r="A91" s="37"/>
      <c r="B91" s="37"/>
      <c r="C91" s="38"/>
      <c r="D91" s="39"/>
      <c r="E91" s="39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43"/>
      <c r="T91" s="44"/>
      <c r="U91" s="43"/>
      <c r="V91" s="43"/>
      <c r="W91" s="43"/>
      <c r="X91" s="43"/>
      <c r="Y91" s="43"/>
      <c r="Z91" s="43"/>
      <c r="AA91" s="43"/>
      <c r="AB91" s="43"/>
      <c r="AC91" s="43"/>
    </row>
    <row r="92" ht="12.75" customHeight="1" spans="1:29">
      <c r="A92" s="37"/>
      <c r="B92" s="37"/>
      <c r="C92" s="38"/>
      <c r="D92" s="39"/>
      <c r="E92" s="39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43"/>
      <c r="T92" s="44"/>
      <c r="U92" s="43"/>
      <c r="V92" s="43"/>
      <c r="W92" s="43"/>
      <c r="X92" s="43"/>
      <c r="Y92" s="43"/>
      <c r="Z92" s="43"/>
      <c r="AA92" s="43"/>
      <c r="AB92" s="43"/>
      <c r="AC92" s="43"/>
    </row>
    <row r="93" ht="12.75" customHeight="1" spans="1:29">
      <c r="A93" s="37"/>
      <c r="B93" s="37"/>
      <c r="C93" s="38"/>
      <c r="D93" s="39"/>
      <c r="E93" s="39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43"/>
      <c r="T93" s="44"/>
      <c r="U93" s="43"/>
      <c r="V93" s="43"/>
      <c r="W93" s="43"/>
      <c r="X93" s="43"/>
      <c r="Y93" s="43"/>
      <c r="Z93" s="43"/>
      <c r="AA93" s="43"/>
      <c r="AB93" s="43"/>
      <c r="AC93" s="43"/>
    </row>
    <row r="94" ht="12.75" customHeight="1" spans="1:29">
      <c r="A94" s="37"/>
      <c r="B94" s="37"/>
      <c r="C94" s="38"/>
      <c r="D94" s="39"/>
      <c r="E94" s="39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T94" s="44"/>
      <c r="U94" s="43"/>
      <c r="V94" s="43"/>
      <c r="W94" s="43"/>
      <c r="X94" s="43"/>
      <c r="Y94" s="43"/>
      <c r="Z94" s="43"/>
      <c r="AA94" s="43"/>
      <c r="AB94" s="43"/>
      <c r="AC94" s="43"/>
    </row>
    <row r="95" ht="12.75" customHeight="1" spans="1:29">
      <c r="A95" s="37"/>
      <c r="B95" s="37"/>
      <c r="C95" s="38"/>
      <c r="D95" s="39"/>
      <c r="E95" s="39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43"/>
      <c r="T95" s="44"/>
      <c r="U95" s="43"/>
      <c r="V95" s="43"/>
      <c r="W95" s="43"/>
      <c r="X95" s="43"/>
      <c r="Y95" s="43"/>
      <c r="Z95" s="43"/>
      <c r="AA95" s="43"/>
      <c r="AB95" s="43"/>
      <c r="AC95" s="43"/>
    </row>
    <row r="96" ht="12.75" customHeight="1" spans="1:29">
      <c r="A96" s="37"/>
      <c r="B96" s="37"/>
      <c r="C96" s="38"/>
      <c r="D96" s="39"/>
      <c r="E96" s="39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43"/>
      <c r="T96" s="44"/>
      <c r="U96" s="43"/>
      <c r="V96" s="43"/>
      <c r="W96" s="43"/>
      <c r="X96" s="43"/>
      <c r="Y96" s="43"/>
      <c r="Z96" s="43"/>
      <c r="AA96" s="43"/>
      <c r="AB96" s="43"/>
      <c r="AC96" s="43"/>
    </row>
    <row r="97" ht="12.75" customHeight="1" spans="1:29">
      <c r="A97" s="37"/>
      <c r="B97" s="37"/>
      <c r="C97" s="38"/>
      <c r="D97" s="39"/>
      <c r="E97" s="39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43"/>
      <c r="T97" s="44"/>
      <c r="U97" s="43"/>
      <c r="V97" s="43"/>
      <c r="W97" s="43"/>
      <c r="X97" s="43"/>
      <c r="Y97" s="43"/>
      <c r="Z97" s="43"/>
      <c r="AA97" s="43"/>
      <c r="AB97" s="43"/>
      <c r="AC97" s="43"/>
    </row>
    <row r="98" ht="12.75" customHeight="1" spans="1:29">
      <c r="A98" s="37"/>
      <c r="B98" s="37"/>
      <c r="C98" s="38"/>
      <c r="D98" s="39"/>
      <c r="E98" s="39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43"/>
      <c r="T98" s="44"/>
      <c r="U98" s="43"/>
      <c r="V98" s="43"/>
      <c r="W98" s="43"/>
      <c r="X98" s="43"/>
      <c r="Y98" s="43"/>
      <c r="Z98" s="43"/>
      <c r="AA98" s="43"/>
      <c r="AB98" s="43"/>
      <c r="AC98" s="43"/>
    </row>
    <row r="99" ht="12.75" customHeight="1" spans="1:29">
      <c r="A99" s="37"/>
      <c r="B99" s="37"/>
      <c r="C99" s="38"/>
      <c r="D99" s="39"/>
      <c r="E99" s="39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43"/>
      <c r="T99" s="44"/>
      <c r="U99" s="43"/>
      <c r="V99" s="43"/>
      <c r="W99" s="43"/>
      <c r="X99" s="43"/>
      <c r="Y99" s="43"/>
      <c r="Z99" s="43"/>
      <c r="AA99" s="43"/>
      <c r="AB99" s="43"/>
      <c r="AC99" s="43"/>
    </row>
    <row r="100" ht="12.75" customHeight="1" spans="1:29">
      <c r="A100" s="37"/>
      <c r="B100" s="37"/>
      <c r="C100" s="38"/>
      <c r="D100" s="39"/>
      <c r="E100" s="39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43"/>
      <c r="T100" s="44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2.75" customHeight="1" spans="1:29">
      <c r="A101" s="37"/>
      <c r="B101" s="37"/>
      <c r="C101" s="38"/>
      <c r="D101" s="39"/>
      <c r="E101" s="39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43"/>
      <c r="T101" s="44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2.75" customHeight="1" spans="1:29">
      <c r="A102" s="37"/>
      <c r="B102" s="37"/>
      <c r="C102" s="38"/>
      <c r="D102" s="39"/>
      <c r="E102" s="39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43"/>
      <c r="T102" s="44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2.75" customHeight="1" spans="1:29">
      <c r="A103" s="37"/>
      <c r="B103" s="37"/>
      <c r="C103" s="38"/>
      <c r="D103" s="39"/>
      <c r="E103" s="39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43"/>
      <c r="T103" s="44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2.75" customHeight="1" spans="1:29">
      <c r="A104" s="37"/>
      <c r="B104" s="37"/>
      <c r="C104" s="38"/>
      <c r="D104" s="39"/>
      <c r="E104" s="39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43"/>
      <c r="T104" s="44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2.75" customHeight="1" spans="1:29">
      <c r="A105" s="37"/>
      <c r="B105" s="37"/>
      <c r="C105" s="38"/>
      <c r="D105" s="39"/>
      <c r="E105" s="39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43"/>
      <c r="T105" s="44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2.75" customHeight="1" spans="1:29">
      <c r="A106" s="37"/>
      <c r="B106" s="37"/>
      <c r="C106" s="38"/>
      <c r="D106" s="39"/>
      <c r="E106" s="39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43"/>
      <c r="T106" s="44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2.75" customHeight="1" spans="1:29">
      <c r="A107" s="37"/>
      <c r="B107" s="37"/>
      <c r="C107" s="38"/>
      <c r="D107" s="39"/>
      <c r="E107" s="39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43"/>
      <c r="T107" s="44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2.75" customHeight="1" spans="1:29">
      <c r="A108" s="37"/>
      <c r="B108" s="37"/>
      <c r="C108" s="38"/>
      <c r="D108" s="39"/>
      <c r="E108" s="39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43"/>
      <c r="T108" s="44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2.75" customHeight="1" spans="1:29">
      <c r="A109" s="37"/>
      <c r="B109" s="37"/>
      <c r="C109" s="38"/>
      <c r="D109" s="39"/>
      <c r="E109" s="39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43"/>
      <c r="T109" s="44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2.75" customHeight="1" spans="1:29">
      <c r="A110" s="37"/>
      <c r="B110" s="37"/>
      <c r="C110" s="38"/>
      <c r="D110" s="39"/>
      <c r="E110" s="39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43"/>
      <c r="T110" s="44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2.75" customHeight="1" spans="1:29">
      <c r="A111" s="37"/>
      <c r="B111" s="37"/>
      <c r="C111" s="38"/>
      <c r="D111" s="39"/>
      <c r="E111" s="39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43"/>
      <c r="T111" s="44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2.75" customHeight="1" spans="1:29">
      <c r="A112" s="37"/>
      <c r="B112" s="37"/>
      <c r="C112" s="38"/>
      <c r="D112" s="39"/>
      <c r="E112" s="39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3"/>
      <c r="T112" s="44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2.75" customHeight="1" spans="1:29">
      <c r="A113" s="37"/>
      <c r="B113" s="37"/>
      <c r="C113" s="38"/>
      <c r="D113" s="39"/>
      <c r="E113" s="39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43"/>
      <c r="T113" s="44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2.75" customHeight="1" spans="1:29">
      <c r="A114" s="37"/>
      <c r="B114" s="37"/>
      <c r="C114" s="38"/>
      <c r="D114" s="39"/>
      <c r="E114" s="39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43"/>
      <c r="T114" s="44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2.75" customHeight="1" spans="1:29">
      <c r="A115" s="37"/>
      <c r="B115" s="37"/>
      <c r="C115" s="38"/>
      <c r="D115" s="39"/>
      <c r="E115" s="39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43"/>
      <c r="T115" s="44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2.75" customHeight="1" spans="1:29">
      <c r="A116" s="37"/>
      <c r="B116" s="37"/>
      <c r="C116" s="38"/>
      <c r="D116" s="39"/>
      <c r="E116" s="39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43"/>
      <c r="T116" s="44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2.75" customHeight="1" spans="1:29">
      <c r="A117" s="37"/>
      <c r="B117" s="37"/>
      <c r="C117" s="38"/>
      <c r="D117" s="39"/>
      <c r="E117" s="39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43"/>
      <c r="T117" s="44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2.75" customHeight="1" spans="1:29">
      <c r="A118" s="37"/>
      <c r="B118" s="37"/>
      <c r="C118" s="38"/>
      <c r="D118" s="39"/>
      <c r="E118" s="39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43"/>
      <c r="T118" s="44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2.75" customHeight="1" spans="1:29">
      <c r="A119" s="37"/>
      <c r="B119" s="37"/>
      <c r="C119" s="38"/>
      <c r="D119" s="39"/>
      <c r="E119" s="39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43"/>
      <c r="T119" s="44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2.75" customHeight="1" spans="1:29">
      <c r="A120" s="37"/>
      <c r="B120" s="37"/>
      <c r="C120" s="38"/>
      <c r="D120" s="39"/>
      <c r="E120" s="39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43"/>
      <c r="T120" s="44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2.75" customHeight="1" spans="1:29">
      <c r="A121" s="37"/>
      <c r="B121" s="37"/>
      <c r="C121" s="38"/>
      <c r="D121" s="39"/>
      <c r="E121" s="39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43"/>
      <c r="T121" s="44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2.75" customHeight="1" spans="1:29">
      <c r="A122" s="37"/>
      <c r="B122" s="37"/>
      <c r="C122" s="38"/>
      <c r="D122" s="39"/>
      <c r="E122" s="39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43"/>
      <c r="T122" s="44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2.75" customHeight="1" spans="1:29">
      <c r="A123" s="37"/>
      <c r="B123" s="37"/>
      <c r="C123" s="38"/>
      <c r="D123" s="39"/>
      <c r="E123" s="39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43"/>
      <c r="T123" s="44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2.75" customHeight="1" spans="1:29">
      <c r="A124" s="37"/>
      <c r="B124" s="37"/>
      <c r="C124" s="38"/>
      <c r="D124" s="39"/>
      <c r="E124" s="39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43"/>
      <c r="T124" s="44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2.75" customHeight="1" spans="1:29">
      <c r="A125" s="37"/>
      <c r="B125" s="37"/>
      <c r="C125" s="38"/>
      <c r="D125" s="39"/>
      <c r="E125" s="39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43"/>
      <c r="T125" s="44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2.75" customHeight="1" spans="1:29">
      <c r="A126" s="37"/>
      <c r="B126" s="37"/>
      <c r="C126" s="38"/>
      <c r="D126" s="39"/>
      <c r="E126" s="39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43"/>
      <c r="T126" s="44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2.75" customHeight="1" spans="1:29">
      <c r="A127" s="37"/>
      <c r="B127" s="37"/>
      <c r="C127" s="38"/>
      <c r="D127" s="39"/>
      <c r="E127" s="39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43"/>
      <c r="T127" s="44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2.75" customHeight="1" spans="1:29">
      <c r="A128" s="37"/>
      <c r="B128" s="37"/>
      <c r="C128" s="38"/>
      <c r="D128" s="39"/>
      <c r="E128" s="39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43"/>
      <c r="T128" s="44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2.75" customHeight="1" spans="1:29">
      <c r="A129" s="37"/>
      <c r="B129" s="37"/>
      <c r="C129" s="38"/>
      <c r="D129" s="39"/>
      <c r="E129" s="39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43"/>
      <c r="T129" s="44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2.75" customHeight="1" spans="1:29">
      <c r="A130" s="37"/>
      <c r="B130" s="37"/>
      <c r="C130" s="38"/>
      <c r="D130" s="39"/>
      <c r="E130" s="39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43"/>
      <c r="T130" s="44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2.75" customHeight="1" spans="1:29">
      <c r="A131" s="37"/>
      <c r="B131" s="37"/>
      <c r="C131" s="38"/>
      <c r="D131" s="39"/>
      <c r="E131" s="39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43"/>
      <c r="T131" s="44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2.75" customHeight="1" spans="1:29">
      <c r="A132" s="37"/>
      <c r="B132" s="37"/>
      <c r="C132" s="38"/>
      <c r="D132" s="39"/>
      <c r="E132" s="39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43"/>
      <c r="T132" s="44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2.75" customHeight="1" spans="1:29">
      <c r="A133" s="37"/>
      <c r="B133" s="37"/>
      <c r="C133" s="38"/>
      <c r="D133" s="39"/>
      <c r="E133" s="39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43"/>
      <c r="T133" s="44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2.75" customHeight="1" spans="1:29">
      <c r="A134" s="37"/>
      <c r="B134" s="37"/>
      <c r="C134" s="38"/>
      <c r="D134" s="39"/>
      <c r="E134" s="39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43"/>
      <c r="T134" s="44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2.75" customHeight="1" spans="1:29">
      <c r="A135" s="37"/>
      <c r="B135" s="37"/>
      <c r="C135" s="38"/>
      <c r="D135" s="39"/>
      <c r="E135" s="39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43"/>
      <c r="T135" s="44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2.75" customHeight="1" spans="1:29">
      <c r="A136" s="37"/>
      <c r="B136" s="37"/>
      <c r="C136" s="38"/>
      <c r="D136" s="39"/>
      <c r="E136" s="39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43"/>
      <c r="T136" s="44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2.75" customHeight="1" spans="1:29">
      <c r="A137" s="37"/>
      <c r="B137" s="37"/>
      <c r="C137" s="38"/>
      <c r="D137" s="39"/>
      <c r="E137" s="39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43"/>
      <c r="T137" s="44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2.75" customHeight="1" spans="1:29">
      <c r="A138" s="37"/>
      <c r="B138" s="37"/>
      <c r="C138" s="38"/>
      <c r="D138" s="39"/>
      <c r="E138" s="39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43"/>
      <c r="T138" s="44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2.75" customHeight="1" spans="1:29">
      <c r="A139" s="37"/>
      <c r="B139" s="37"/>
      <c r="C139" s="38"/>
      <c r="D139" s="39"/>
      <c r="E139" s="39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43"/>
      <c r="T139" s="44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2.75" customHeight="1" spans="1:29">
      <c r="A140" s="37"/>
      <c r="B140" s="37"/>
      <c r="C140" s="38"/>
      <c r="D140" s="39"/>
      <c r="E140" s="39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43"/>
      <c r="T140" s="44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2.75" customHeight="1" spans="1:29">
      <c r="A141" s="37"/>
      <c r="B141" s="37"/>
      <c r="C141" s="38"/>
      <c r="D141" s="39"/>
      <c r="E141" s="39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43"/>
      <c r="T141" s="44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2.75" customHeight="1" spans="1:29">
      <c r="A142" s="37"/>
      <c r="B142" s="37"/>
      <c r="C142" s="38"/>
      <c r="D142" s="39"/>
      <c r="E142" s="39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43"/>
      <c r="T142" s="44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2.75" customHeight="1" spans="1:29">
      <c r="A143" s="37"/>
      <c r="B143" s="37"/>
      <c r="C143" s="38"/>
      <c r="D143" s="39"/>
      <c r="E143" s="39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43"/>
      <c r="T143" s="44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2.75" customHeight="1" spans="1:29">
      <c r="A144" s="37"/>
      <c r="B144" s="37"/>
      <c r="C144" s="38"/>
      <c r="D144" s="39"/>
      <c r="E144" s="39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43"/>
      <c r="T144" s="44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2.75" customHeight="1" spans="1:29">
      <c r="A145" s="37"/>
      <c r="B145" s="37"/>
      <c r="C145" s="38"/>
      <c r="D145" s="39"/>
      <c r="E145" s="39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43"/>
      <c r="T145" s="44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2.75" customHeight="1" spans="1:29">
      <c r="A146" s="37"/>
      <c r="B146" s="37"/>
      <c r="C146" s="38"/>
      <c r="D146" s="39"/>
      <c r="E146" s="39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43"/>
      <c r="T146" s="44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2.75" customHeight="1" spans="1:29">
      <c r="A147" s="37"/>
      <c r="B147" s="37"/>
      <c r="C147" s="38"/>
      <c r="D147" s="39"/>
      <c r="E147" s="39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43"/>
      <c r="T147" s="44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2.75" customHeight="1" spans="1:29">
      <c r="A148" s="37"/>
      <c r="B148" s="37"/>
      <c r="C148" s="38"/>
      <c r="D148" s="39"/>
      <c r="E148" s="39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43"/>
      <c r="T148" s="44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2.75" customHeight="1" spans="1:29">
      <c r="A149" s="37"/>
      <c r="B149" s="37"/>
      <c r="C149" s="38"/>
      <c r="D149" s="39"/>
      <c r="E149" s="39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43"/>
      <c r="T149" s="44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2.75" customHeight="1" spans="1:29">
      <c r="A150" s="37"/>
      <c r="B150" s="37"/>
      <c r="C150" s="38"/>
      <c r="D150" s="39"/>
      <c r="E150" s="39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43"/>
      <c r="T150" s="44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2.75" customHeight="1" spans="1:29">
      <c r="A151" s="37"/>
      <c r="B151" s="37"/>
      <c r="C151" s="38"/>
      <c r="D151" s="39"/>
      <c r="E151" s="39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43"/>
      <c r="T151" s="44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2.75" customHeight="1" spans="1:29">
      <c r="A152" s="37"/>
      <c r="B152" s="37"/>
      <c r="C152" s="38"/>
      <c r="D152" s="39"/>
      <c r="E152" s="39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43"/>
      <c r="T152" s="44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2.75" customHeight="1" spans="1:29">
      <c r="A153" s="37"/>
      <c r="B153" s="37"/>
      <c r="C153" s="38"/>
      <c r="D153" s="39"/>
      <c r="E153" s="39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43"/>
      <c r="T153" s="44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2.75" customHeight="1" spans="1:29">
      <c r="A154" s="37"/>
      <c r="B154" s="37"/>
      <c r="C154" s="38"/>
      <c r="D154" s="39"/>
      <c r="E154" s="39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43"/>
      <c r="T154" s="44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2.75" customHeight="1" spans="1:29">
      <c r="A155" s="37"/>
      <c r="B155" s="37"/>
      <c r="C155" s="38"/>
      <c r="D155" s="39"/>
      <c r="E155" s="39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43"/>
      <c r="T155" s="44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2.75" customHeight="1" spans="1:29">
      <c r="A156" s="37"/>
      <c r="B156" s="37"/>
      <c r="C156" s="38"/>
      <c r="D156" s="39"/>
      <c r="E156" s="39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43"/>
      <c r="T156" s="44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2.75" customHeight="1" spans="1:29">
      <c r="A157" s="37"/>
      <c r="B157" s="37"/>
      <c r="C157" s="38"/>
      <c r="D157" s="39"/>
      <c r="E157" s="39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43"/>
      <c r="T157" s="44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2.75" customHeight="1" spans="1:29">
      <c r="A158" s="37"/>
      <c r="B158" s="37"/>
      <c r="C158" s="38"/>
      <c r="D158" s="39"/>
      <c r="E158" s="39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43"/>
      <c r="T158" s="44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2.75" customHeight="1" spans="1:29">
      <c r="A159" s="37"/>
      <c r="B159" s="37"/>
      <c r="C159" s="38"/>
      <c r="D159" s="39"/>
      <c r="E159" s="39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43"/>
      <c r="T159" s="44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2.75" customHeight="1" spans="1:29">
      <c r="A160" s="37"/>
      <c r="B160" s="37"/>
      <c r="C160" s="38"/>
      <c r="D160" s="39"/>
      <c r="E160" s="39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43"/>
      <c r="T160" s="44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2.75" customHeight="1" spans="1:29">
      <c r="A161" s="37"/>
      <c r="B161" s="37"/>
      <c r="C161" s="38"/>
      <c r="D161" s="39"/>
      <c r="E161" s="39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43"/>
      <c r="T161" s="44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2.75" customHeight="1" spans="1:29">
      <c r="A162" s="37"/>
      <c r="B162" s="37"/>
      <c r="C162" s="38"/>
      <c r="D162" s="39"/>
      <c r="E162" s="39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43"/>
      <c r="T162" s="44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2.75" customHeight="1" spans="1:29">
      <c r="A163" s="37"/>
      <c r="B163" s="37"/>
      <c r="C163" s="38"/>
      <c r="D163" s="39"/>
      <c r="E163" s="39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43"/>
      <c r="T163" s="44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2.75" customHeight="1" spans="1:29">
      <c r="A164" s="37"/>
      <c r="B164" s="37"/>
      <c r="C164" s="38"/>
      <c r="D164" s="39"/>
      <c r="E164" s="39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43"/>
      <c r="T164" s="44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2.75" customHeight="1" spans="1:29">
      <c r="A165" s="37"/>
      <c r="B165" s="37"/>
      <c r="C165" s="38"/>
      <c r="D165" s="39"/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43"/>
      <c r="T165" s="44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2.75" customHeight="1" spans="1:29">
      <c r="A166" s="37"/>
      <c r="B166" s="37"/>
      <c r="C166" s="38"/>
      <c r="D166" s="39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43"/>
      <c r="T166" s="44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2.75" customHeight="1" spans="1:29">
      <c r="A167" s="37"/>
      <c r="B167" s="37"/>
      <c r="C167" s="38"/>
      <c r="D167" s="39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43"/>
      <c r="T167" s="44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2.75" customHeight="1" spans="1:29">
      <c r="A168" s="37"/>
      <c r="B168" s="37"/>
      <c r="C168" s="38"/>
      <c r="D168" s="39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43"/>
      <c r="T168" s="44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2.75" customHeight="1" spans="1:29">
      <c r="A169" s="37"/>
      <c r="B169" s="37"/>
      <c r="C169" s="38"/>
      <c r="D169" s="39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43"/>
      <c r="T169" s="44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2.75" customHeight="1" spans="1:29">
      <c r="A170" s="37"/>
      <c r="B170" s="37"/>
      <c r="C170" s="38"/>
      <c r="D170" s="39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43"/>
      <c r="T170" s="44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2.75" customHeight="1" spans="1:29">
      <c r="A171" s="37"/>
      <c r="B171" s="37"/>
      <c r="C171" s="38"/>
      <c r="D171" s="39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43"/>
      <c r="T171" s="44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2.75" customHeight="1" spans="1:29">
      <c r="A172" s="37"/>
      <c r="B172" s="37"/>
      <c r="C172" s="38"/>
      <c r="D172" s="39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43"/>
      <c r="T172" s="44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2.75" customHeight="1" spans="1:29">
      <c r="A173" s="37"/>
      <c r="B173" s="37"/>
      <c r="C173" s="38"/>
      <c r="D173" s="39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43"/>
      <c r="T173" s="44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2.75" customHeight="1" spans="1:29">
      <c r="A174" s="37"/>
      <c r="B174" s="37"/>
      <c r="C174" s="38"/>
      <c r="D174" s="39"/>
      <c r="E174" s="39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43"/>
      <c r="T174" s="44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2.75" customHeight="1" spans="1:29">
      <c r="A175" s="37"/>
      <c r="B175" s="37"/>
      <c r="C175" s="38"/>
      <c r="D175" s="39"/>
      <c r="E175" s="39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43"/>
      <c r="T175" s="44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2.75" customHeight="1" spans="1:29">
      <c r="A176" s="37"/>
      <c r="B176" s="37"/>
      <c r="C176" s="38"/>
      <c r="D176" s="39"/>
      <c r="E176" s="39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43"/>
      <c r="T176" s="44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2.75" customHeight="1" spans="1:29">
      <c r="A177" s="37"/>
      <c r="B177" s="37"/>
      <c r="C177" s="38"/>
      <c r="D177" s="39"/>
      <c r="E177" s="39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43"/>
      <c r="T177" s="44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2.75" customHeight="1" spans="1:29">
      <c r="A178" s="37"/>
      <c r="B178" s="37"/>
      <c r="C178" s="38"/>
      <c r="D178" s="39"/>
      <c r="E178" s="39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43"/>
      <c r="T178" s="44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2.75" customHeight="1" spans="1:29">
      <c r="A179" s="37"/>
      <c r="B179" s="37"/>
      <c r="C179" s="38"/>
      <c r="D179" s="39"/>
      <c r="E179" s="39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43"/>
      <c r="T179" s="44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2.75" customHeight="1" spans="1:29">
      <c r="A180" s="37"/>
      <c r="B180" s="37"/>
      <c r="C180" s="38"/>
      <c r="D180" s="39"/>
      <c r="E180" s="39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43"/>
      <c r="T180" s="44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2.75" customHeight="1" spans="1:29">
      <c r="A181" s="37"/>
      <c r="B181" s="37"/>
      <c r="C181" s="38"/>
      <c r="D181" s="39"/>
      <c r="E181" s="39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43"/>
      <c r="T181" s="44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2.75" customHeight="1" spans="1:29">
      <c r="A182" s="37"/>
      <c r="B182" s="37"/>
      <c r="C182" s="38"/>
      <c r="D182" s="39"/>
      <c r="E182" s="39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43"/>
      <c r="T182" s="44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2.75" customHeight="1" spans="1:29">
      <c r="A183" s="37"/>
      <c r="B183" s="37"/>
      <c r="C183" s="38"/>
      <c r="D183" s="39"/>
      <c r="E183" s="39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43"/>
      <c r="T183" s="44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2.75" customHeight="1" spans="1:29">
      <c r="A184" s="37"/>
      <c r="B184" s="37"/>
      <c r="C184" s="38"/>
      <c r="D184" s="39"/>
      <c r="E184" s="39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43"/>
      <c r="T184" s="44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2.75" customHeight="1" spans="1:29">
      <c r="A185" s="37"/>
      <c r="B185" s="37"/>
      <c r="C185" s="38"/>
      <c r="D185" s="39"/>
      <c r="E185" s="39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43"/>
      <c r="T185" s="44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2.75" customHeight="1" spans="1:29">
      <c r="A186" s="37"/>
      <c r="B186" s="37"/>
      <c r="C186" s="38"/>
      <c r="D186" s="39"/>
      <c r="E186" s="39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43"/>
      <c r="T186" s="44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2.75" customHeight="1" spans="1:29">
      <c r="A187" s="37"/>
      <c r="B187" s="37"/>
      <c r="C187" s="38"/>
      <c r="D187" s="39"/>
      <c r="E187" s="39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43"/>
      <c r="T187" s="44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2.75" customHeight="1" spans="1:29">
      <c r="A188" s="37"/>
      <c r="B188" s="37"/>
      <c r="C188" s="38"/>
      <c r="D188" s="39"/>
      <c r="E188" s="39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43"/>
      <c r="T188" s="44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2.75" customHeight="1" spans="1:29">
      <c r="A189" s="37"/>
      <c r="B189" s="37"/>
      <c r="C189" s="38"/>
      <c r="D189" s="39"/>
      <c r="E189" s="39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43"/>
      <c r="T189" s="44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2.75" customHeight="1" spans="1:29">
      <c r="A190" s="37"/>
      <c r="B190" s="37"/>
      <c r="C190" s="38"/>
      <c r="D190" s="39"/>
      <c r="E190" s="39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43"/>
      <c r="T190" s="44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2.75" customHeight="1" spans="1:29">
      <c r="A191" s="37"/>
      <c r="B191" s="37"/>
      <c r="C191" s="38"/>
      <c r="D191" s="39"/>
      <c r="E191" s="39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43"/>
      <c r="T191" s="44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2.75" customHeight="1" spans="1:29">
      <c r="A192" s="37"/>
      <c r="B192" s="37"/>
      <c r="C192" s="38"/>
      <c r="D192" s="39"/>
      <c r="E192" s="39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43"/>
      <c r="T192" s="44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2.75" customHeight="1" spans="1:29">
      <c r="A193" s="37"/>
      <c r="B193" s="37"/>
      <c r="C193" s="38"/>
      <c r="D193" s="39"/>
      <c r="E193" s="39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43"/>
      <c r="T193" s="44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2.75" customHeight="1" spans="1:29">
      <c r="A194" s="37"/>
      <c r="B194" s="37"/>
      <c r="C194" s="38"/>
      <c r="D194" s="39"/>
      <c r="E194" s="39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43"/>
      <c r="T194" s="44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2.75" customHeight="1" spans="1:29">
      <c r="A195" s="37"/>
      <c r="B195" s="37"/>
      <c r="C195" s="38"/>
      <c r="D195" s="39"/>
      <c r="E195" s="39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43"/>
      <c r="T195" s="44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2.75" customHeight="1" spans="1:29">
      <c r="A196" s="37"/>
      <c r="B196" s="37"/>
      <c r="C196" s="38"/>
      <c r="D196" s="39"/>
      <c r="E196" s="39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43"/>
      <c r="T196" s="44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2.75" customHeight="1" spans="1:29">
      <c r="A197" s="37"/>
      <c r="B197" s="37"/>
      <c r="C197" s="38"/>
      <c r="D197" s="39"/>
      <c r="E197" s="39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43"/>
      <c r="T197" s="44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2.75" customHeight="1" spans="1:29">
      <c r="A198" s="37"/>
      <c r="B198" s="37"/>
      <c r="C198" s="38"/>
      <c r="D198" s="39"/>
      <c r="E198" s="39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43"/>
      <c r="T198" s="44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2.75" customHeight="1" spans="1:29">
      <c r="A199" s="37"/>
      <c r="B199" s="37"/>
      <c r="C199" s="38"/>
      <c r="D199" s="39"/>
      <c r="E199" s="39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43"/>
      <c r="T199" s="44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2.75" customHeight="1" spans="1:29">
      <c r="A200" s="37"/>
      <c r="B200" s="37"/>
      <c r="C200" s="38"/>
      <c r="D200" s="39"/>
      <c r="E200" s="39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43"/>
      <c r="T200" s="44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2.75" customHeight="1" spans="1:29">
      <c r="A201" s="37"/>
      <c r="B201" s="37"/>
      <c r="C201" s="38"/>
      <c r="D201" s="39"/>
      <c r="E201" s="39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43"/>
      <c r="T201" s="44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2.75" customHeight="1" spans="1:29">
      <c r="A202" s="37"/>
      <c r="B202" s="37"/>
      <c r="C202" s="38"/>
      <c r="D202" s="39"/>
      <c r="E202" s="39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43"/>
      <c r="T202" s="44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2.75" customHeight="1" spans="1:29">
      <c r="A203" s="37"/>
      <c r="B203" s="37"/>
      <c r="C203" s="38"/>
      <c r="D203" s="39"/>
      <c r="E203" s="39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43"/>
      <c r="T203" s="44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2.75" customHeight="1" spans="1:29">
      <c r="A204" s="37"/>
      <c r="B204" s="37"/>
      <c r="C204" s="38"/>
      <c r="D204" s="39"/>
      <c r="E204" s="39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43"/>
      <c r="T204" s="44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2.75" customHeight="1" spans="1:29">
      <c r="A205" s="37"/>
      <c r="B205" s="37"/>
      <c r="C205" s="38"/>
      <c r="D205" s="39"/>
      <c r="E205" s="39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43"/>
      <c r="T205" s="44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2.75" customHeight="1" spans="1:29">
      <c r="A206" s="37"/>
      <c r="B206" s="37"/>
      <c r="C206" s="38"/>
      <c r="D206" s="39"/>
      <c r="E206" s="39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43"/>
      <c r="T206" s="44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2.75" customHeight="1" spans="1:29">
      <c r="A207" s="37"/>
      <c r="B207" s="37"/>
      <c r="C207" s="38"/>
      <c r="D207" s="39"/>
      <c r="E207" s="39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43"/>
      <c r="T207" s="44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2.75" customHeight="1" spans="1:29">
      <c r="A208" s="37"/>
      <c r="B208" s="37"/>
      <c r="C208" s="38"/>
      <c r="D208" s="39"/>
      <c r="E208" s="39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43"/>
      <c r="T208" s="44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2.75" customHeight="1" spans="1:29">
      <c r="A209" s="37"/>
      <c r="B209" s="37"/>
      <c r="C209" s="38"/>
      <c r="D209" s="39"/>
      <c r="E209" s="39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43"/>
      <c r="T209" s="44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2.75" customHeight="1" spans="1:29">
      <c r="A210" s="37"/>
      <c r="B210" s="37"/>
      <c r="C210" s="38"/>
      <c r="D210" s="39"/>
      <c r="E210" s="39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43"/>
      <c r="T210" s="44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2.75" customHeight="1" spans="1:29">
      <c r="A211" s="37"/>
      <c r="B211" s="37"/>
      <c r="C211" s="38"/>
      <c r="D211" s="39"/>
      <c r="E211" s="39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43"/>
      <c r="T211" s="44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2.75" customHeight="1" spans="1:29">
      <c r="A212" s="37"/>
      <c r="B212" s="37"/>
      <c r="C212" s="38"/>
      <c r="D212" s="39"/>
      <c r="E212" s="39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43"/>
      <c r="T212" s="44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2.75" customHeight="1" spans="1:29">
      <c r="A213" s="37"/>
      <c r="B213" s="37"/>
      <c r="C213" s="38"/>
      <c r="D213" s="39"/>
      <c r="E213" s="39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43"/>
      <c r="T213" s="44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2.75" customHeight="1" spans="1:29">
      <c r="A214" s="37"/>
      <c r="B214" s="37"/>
      <c r="C214" s="38"/>
      <c r="D214" s="39"/>
      <c r="E214" s="39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43"/>
      <c r="T214" s="44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2.75" customHeight="1" spans="1:29">
      <c r="A215" s="37"/>
      <c r="B215" s="37"/>
      <c r="C215" s="38"/>
      <c r="D215" s="39"/>
      <c r="E215" s="39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43"/>
      <c r="T215" s="44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2.75" customHeight="1" spans="1:29">
      <c r="A216" s="37"/>
      <c r="B216" s="37"/>
      <c r="C216" s="38"/>
      <c r="D216" s="39"/>
      <c r="E216" s="39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43"/>
      <c r="T216" s="44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2.75" customHeight="1" spans="1:29">
      <c r="A217" s="37"/>
      <c r="B217" s="37"/>
      <c r="C217" s="38"/>
      <c r="D217" s="39"/>
      <c r="E217" s="39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43"/>
      <c r="T217" s="44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2.75" customHeight="1" spans="1:29">
      <c r="A218" s="37"/>
      <c r="B218" s="37"/>
      <c r="C218" s="38"/>
      <c r="D218" s="39"/>
      <c r="E218" s="39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43"/>
      <c r="T218" s="44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2.75" customHeight="1" spans="1:29">
      <c r="A219" s="37"/>
      <c r="B219" s="37"/>
      <c r="C219" s="38"/>
      <c r="D219" s="39"/>
      <c r="E219" s="39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43"/>
      <c r="T219" s="44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2.75" customHeight="1" spans="1:29">
      <c r="A220" s="37"/>
      <c r="B220" s="37"/>
      <c r="C220" s="38"/>
      <c r="D220" s="39"/>
      <c r="E220" s="39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43"/>
      <c r="T220" s="44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2.75" customHeight="1" spans="1:29">
      <c r="A221" s="37"/>
      <c r="B221" s="37"/>
      <c r="C221" s="38"/>
      <c r="D221" s="39"/>
      <c r="E221" s="39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43"/>
      <c r="T221" s="44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2.75" customHeight="1" spans="1:29">
      <c r="A222" s="37"/>
      <c r="B222" s="43"/>
      <c r="C222" s="58"/>
      <c r="D222" s="59"/>
      <c r="E222" s="59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4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2.75" customHeight="1" spans="1:29">
      <c r="A223" s="37"/>
      <c r="B223" s="43"/>
      <c r="C223" s="58"/>
      <c r="D223" s="59"/>
      <c r="E223" s="59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4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2.75" customHeight="1" spans="1:29">
      <c r="A224" s="37"/>
      <c r="B224" s="43"/>
      <c r="C224" s="58"/>
      <c r="D224" s="59"/>
      <c r="E224" s="59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4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2.75" customHeight="1" spans="1:29">
      <c r="A225" s="37"/>
      <c r="B225" s="43"/>
      <c r="C225" s="58"/>
      <c r="D225" s="59"/>
      <c r="E225" s="59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4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2.75" customHeight="1" spans="1:29">
      <c r="A226" s="37"/>
      <c r="B226" s="43"/>
      <c r="C226" s="58"/>
      <c r="D226" s="59"/>
      <c r="E226" s="59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4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2.75" customHeight="1" spans="1:29">
      <c r="A227" s="37"/>
      <c r="B227" s="43"/>
      <c r="C227" s="58"/>
      <c r="D227" s="59"/>
      <c r="E227" s="59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4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2.75" customHeight="1" spans="1:29">
      <c r="A228" s="37"/>
      <c r="B228" s="43"/>
      <c r="C228" s="58"/>
      <c r="D228" s="59"/>
      <c r="E228" s="59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4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2.75" customHeight="1" spans="1:29">
      <c r="A229" s="37"/>
      <c r="B229" s="43"/>
      <c r="C229" s="58"/>
      <c r="D229" s="59"/>
      <c r="E229" s="59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4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2.75" customHeight="1" spans="1:29">
      <c r="A230" s="37"/>
      <c r="B230" s="43"/>
      <c r="C230" s="58"/>
      <c r="D230" s="59"/>
      <c r="E230" s="59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2.75" customHeight="1" spans="1:29">
      <c r="A231" s="37"/>
      <c r="B231" s="43"/>
      <c r="C231" s="58"/>
      <c r="D231" s="59"/>
      <c r="E231" s="59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2.75" customHeight="1" spans="1:29">
      <c r="A232" s="37"/>
      <c r="B232" s="43"/>
      <c r="C232" s="58"/>
      <c r="D232" s="59"/>
      <c r="E232" s="59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2.75" customHeight="1" spans="1:29">
      <c r="A233" s="37"/>
      <c r="B233" s="43"/>
      <c r="C233" s="58"/>
      <c r="D233" s="59"/>
      <c r="E233" s="59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2.75" customHeight="1" spans="1:29">
      <c r="A234" s="37"/>
      <c r="B234" s="43"/>
      <c r="C234" s="58"/>
      <c r="D234" s="59"/>
      <c r="E234" s="59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2.75" customHeight="1" spans="1:29">
      <c r="A235" s="37"/>
      <c r="B235" s="43"/>
      <c r="C235" s="58"/>
      <c r="D235" s="59"/>
      <c r="E235" s="59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2.75" customHeight="1" spans="1:29">
      <c r="A236" s="37"/>
      <c r="B236" s="43"/>
      <c r="C236" s="58"/>
      <c r="D236" s="59"/>
      <c r="E236" s="5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2.75" customHeight="1" spans="1:29">
      <c r="A237" s="37"/>
      <c r="B237" s="43"/>
      <c r="C237" s="58"/>
      <c r="D237" s="59"/>
      <c r="E237" s="5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2.75" customHeight="1" spans="1:29">
      <c r="A238" s="37"/>
      <c r="B238" s="43"/>
      <c r="C238" s="58"/>
      <c r="D238" s="59"/>
      <c r="E238" s="59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2.75" customHeight="1" spans="1:29">
      <c r="A239" s="37"/>
      <c r="B239" s="43"/>
      <c r="C239" s="58"/>
      <c r="D239" s="59"/>
      <c r="E239" s="59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2.75" customHeight="1" spans="1:29">
      <c r="A240" s="37"/>
      <c r="B240" s="43"/>
      <c r="C240" s="58"/>
      <c r="D240" s="59"/>
      <c r="E240" s="59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2.75" customHeight="1" spans="1:29">
      <c r="A241" s="37"/>
      <c r="B241" s="43"/>
      <c r="C241" s="58"/>
      <c r="D241" s="59"/>
      <c r="E241" s="59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2.75" customHeight="1" spans="1:29">
      <c r="A242" s="37"/>
      <c r="B242" s="43"/>
      <c r="C242" s="58"/>
      <c r="D242" s="59"/>
      <c r="E242" s="59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2.75" customHeight="1" spans="1:29">
      <c r="A243" s="37"/>
      <c r="B243" s="43"/>
      <c r="C243" s="58"/>
      <c r="D243" s="59"/>
      <c r="E243" s="59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2.75" customHeight="1" spans="1:29">
      <c r="A244" s="37"/>
      <c r="B244" s="43"/>
      <c r="C244" s="58"/>
      <c r="D244" s="59"/>
      <c r="E244" s="59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2.75" customHeight="1" spans="1:29">
      <c r="A245" s="37"/>
      <c r="B245" s="43"/>
      <c r="C245" s="58"/>
      <c r="D245" s="59"/>
      <c r="E245" s="59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mergeCells count="3">
    <mergeCell ref="C2:F2"/>
    <mergeCell ref="C3:F3"/>
    <mergeCell ref="C4:F4"/>
  </mergeCells>
  <dataValidations count="1">
    <dataValidation type="list" allowBlank="1" showErrorMessage="1" sqref="H9 M9 P9 G11:G61 H2:H3 L11:L61 M2:M3 O11:O61 P2:P3">
      <formula1>$U$2:$U$5</formula1>
    </dataValidation>
  </dataValidations>
  <pageMargins left="0.747916666666667" right="0.25" top="0.75" bottom="0.984027777777778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Cover</vt:lpstr>
      <vt:lpstr>Test Cases</vt:lpstr>
      <vt:lpstr>Test Statistics</vt:lpstr>
      <vt:lpstr>Payment</vt:lpstr>
      <vt:lpstr>Appointment</vt:lpstr>
      <vt:lpstr>Policy</vt:lpstr>
      <vt:lpstr>Event</vt:lpstr>
      <vt:lpstr>Bad Word</vt:lpstr>
      <vt:lpstr>Notification</vt:lpstr>
      <vt:lpstr>Match</vt:lpstr>
      <vt:lpstr>Expert Confirmation</vt:lpstr>
      <vt:lpstr>Chat User</vt:lpstr>
      <vt:lpstr>Chat Expert</vt:lpstr>
      <vt:lpstr>Chat AI</vt:lpstr>
      <vt:lpstr>Block</vt:lpstr>
      <vt:lpstr>Auth</vt:lpstr>
      <vt:lpstr>Attribute Options</vt:lpstr>
      <vt:lpstr>Attributes</vt:lpstr>
      <vt:lpstr>Admin</vt:lpstr>
      <vt:lpstr>Address</vt:lpstr>
      <vt:lpstr>User Preference</vt:lpstr>
      <vt:lpstr>User</vt:lpstr>
      <vt:lpstr>Pet Image Analysis</vt:lpstr>
      <vt:lpstr>Pet</vt:lpstr>
      <vt:lpstr>Pet Characteristic</vt:lpstr>
      <vt:lpstr>Pet Photo</vt:lpstr>
      <vt:lpstr>Pet Recommendation</vt:lpstr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Minh Sang (K17 HL)</cp:lastModifiedBy>
  <dcterms:created xsi:type="dcterms:W3CDTF">2026-01-29T11:14:00Z</dcterms:created>
  <dcterms:modified xsi:type="dcterms:W3CDTF">2026-01-29T11:27:47Z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EBDE8B466995428EA13D150AF3858614_12</vt:lpwstr>
  </property>
  <property fmtid="{D5CDD505-2E9C-101B-9397-08002B2CF9AE}" pid="3" name="KSOProductBuildVer">
    <vt:lpwstr>1033-12.2.0.23196</vt:lpwstr>
  </property>
</Properties>
</file>